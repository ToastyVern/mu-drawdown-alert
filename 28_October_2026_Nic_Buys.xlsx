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7530" windowWidth="29040" windowHeight="16440" tabRatio="600" firstSheet="0" activeTab="2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 bills" sheetId="2" state="visible" r:id="rId2"/>
    <sheet xmlns:r="http://schemas.openxmlformats.org/officeDocument/2006/relationships" name="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0%;\(0.00%\);\-"/>
    <numFmt numFmtId="166" formatCode="0.000"/>
    <numFmt numFmtId="167" formatCode="0.0000"/>
  </numFmts>
  <fonts count="9">
    <font>
      <name val="Aptos Narrow"/>
      <family val="2"/>
      <color theme="1"/>
      <sz val="11"/>
      <scheme val="minor"/>
    </font>
    <font>
      <name val="Calibri"/>
      <family val="2"/>
      <color rgb="FF262626"/>
      <sz val="10"/>
    </font>
    <font>
      <name val="Calibri"/>
      <family val="2"/>
      <b val="1"/>
      <color rgb="FF262626"/>
      <sz val="14"/>
    </font>
    <font>
      <name val="Calibri"/>
      <family val="2"/>
      <i val="1"/>
      <color rgb="FF595959"/>
      <sz val="9"/>
    </font>
    <font>
      <name val="Calibri"/>
      <family val="2"/>
      <color rgb="FF595959"/>
      <sz val="8"/>
    </font>
    <font>
      <name val="Calibri"/>
      <family val="2"/>
      <b val="1"/>
      <color rgb="FF262626"/>
      <sz val="10"/>
    </font>
    <font>
      <name val="Calibri"/>
      <family val="2"/>
      <b val="1"/>
      <color rgb="FF262626"/>
      <sz val="10"/>
    </font>
    <font>
      <name val="Calibri"/>
      <b val="1"/>
      <color rgb="FF262626"/>
      <sz val="10"/>
    </font>
    <font>
      <name val="Calibri"/>
      <color rgb="FF0000FF"/>
      <sz val="10"/>
    </font>
  </fonts>
  <fills count="6">
    <fill>
      <patternFill/>
    </fill>
    <fill>
      <patternFill patternType="gray125"/>
    </fill>
    <fill>
      <patternFill patternType="solid">
        <fgColor rgb="FFB0B9A2"/>
        <bgColor indexed="64"/>
      </patternFill>
    </fill>
    <fill>
      <patternFill patternType="solid">
        <fgColor rgb="FFD8DA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5" fillId="0" borderId="2" pivotButton="0" quotePrefix="0" xfId="0"/>
    <xf numFmtId="0" fontId="4" fillId="0" borderId="2" applyAlignment="1" pivotButton="0" quotePrefix="0" xfId="0">
      <alignment horizontal="center"/>
    </xf>
    <xf numFmtId="0" fontId="5" fillId="3" borderId="2" pivotButton="0" quotePrefix="0" xfId="0"/>
    <xf numFmtId="0" fontId="5" fillId="3" borderId="2" applyAlignment="1" pivotButton="0" quotePrefix="0" xfId="0">
      <alignment horizontal="center"/>
    </xf>
    <xf numFmtId="0" fontId="5" fillId="4" borderId="2" pivotButton="0" quotePrefix="0" xfId="0"/>
    <xf numFmtId="0" fontId="5" fillId="4" borderId="2" applyAlignment="1" pivotButton="0" quotePrefix="0" xfId="0">
      <alignment horizontal="center"/>
    </xf>
    <xf numFmtId="164" fontId="5" fillId="4" borderId="2" pivotButton="0" quotePrefix="0" xfId="0"/>
    <xf numFmtId="165" fontId="5" fillId="4" borderId="2" pivotButton="0" quotePrefix="0" xfId="0"/>
    <xf numFmtId="166" fontId="5" fillId="3" borderId="2" applyAlignment="1" pivotButton="0" quotePrefix="0" xfId="0">
      <alignment horizontal="left"/>
    </xf>
    <xf numFmtId="164" fontId="5" fillId="3" borderId="2" pivotButton="0" quotePrefix="0" xfId="0"/>
    <xf numFmtId="0" fontId="1" fillId="0" borderId="2" pivotButton="0" quotePrefix="0" xfId="0"/>
    <xf numFmtId="166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center"/>
    </xf>
    <xf numFmtId="164" fontId="1" fillId="0" borderId="2" pivotButton="0" quotePrefix="0" xfId="0"/>
    <xf numFmtId="165" fontId="1" fillId="0" borderId="2" pivotButton="0" quotePrefix="0" xfId="0"/>
    <xf numFmtId="0" fontId="5" fillId="0" borderId="3" pivotButton="0" quotePrefix="0" xfId="0"/>
    <xf numFmtId="0" fontId="5" fillId="2" borderId="3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5" borderId="0" pivotButton="0" quotePrefix="0" xfId="0"/>
    <xf numFmtId="0" fontId="1" fillId="5" borderId="1" pivotButton="0" quotePrefix="0" xfId="0"/>
    <xf numFmtId="0" fontId="5" fillId="5" borderId="3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164" fontId="5" fillId="5" borderId="2" pivotButton="0" quotePrefix="0" xfId="0"/>
    <xf numFmtId="164" fontId="1" fillId="5" borderId="2" pivotButton="0" quotePrefix="0" xfId="0"/>
    <xf numFmtId="0" fontId="0" fillId="5" borderId="0" pivotButton="0" quotePrefix="0" xfId="0"/>
    <xf numFmtId="0" fontId="6" fillId="5" borderId="3" applyAlignment="1" pivotButton="0" quotePrefix="0" xfId="0">
      <alignment horizontal="center"/>
    </xf>
    <xf numFmtId="0" fontId="7" fillId="5" borderId="1" pivotButton="0" quotePrefix="0" xfId="0"/>
    <xf numFmtId="167" fontId="8" fillId="0" borderId="0" pivotButton="0" quotePrefix="0" xfId="0"/>
    <xf numFmtId="0" fontId="6" fillId="2" borderId="3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164" fontId="5" fillId="4" borderId="2" pivotButton="0" quotePrefix="0" xfId="0"/>
    <xf numFmtId="164" fontId="5" fillId="5" borderId="2" pivotButton="0" quotePrefix="0" xfId="0"/>
    <xf numFmtId="165" fontId="5" fillId="4" borderId="2" pivotButton="0" quotePrefix="0" xfId="0"/>
    <xf numFmtId="164" fontId="6" fillId="4" borderId="2" pivotButton="0" quotePrefix="0" xfId="0"/>
    <xf numFmtId="166" fontId="5" fillId="3" borderId="2" applyAlignment="1" pivotButton="0" quotePrefix="0" xfId="0">
      <alignment horizontal="left"/>
    </xf>
    <xf numFmtId="164" fontId="5" fillId="3" borderId="2" pivotButton="0" quotePrefix="0" xfId="0"/>
    <xf numFmtId="164" fontId="0" fillId="0" borderId="0" pivotButton="0" quotePrefix="0" xfId="0"/>
    <xf numFmtId="166" fontId="1" fillId="0" borderId="2" applyAlignment="1" pivotButton="0" quotePrefix="0" xfId="0">
      <alignment horizontal="left"/>
    </xf>
    <xf numFmtId="164" fontId="1" fillId="0" borderId="2" pivotButton="0" quotePrefix="0" xfId="0"/>
    <xf numFmtId="164" fontId="1" fillId="5" borderId="2" pivotButton="0" quotePrefix="0" xfId="0"/>
    <xf numFmtId="165" fontId="1" fillId="0" borderId="2" pivotButton="0" quotePrefix="0" xfId="0"/>
  </cellXfs>
  <cellStyles count="1">
    <cellStyle name="Normal" xfId="0" builtinId="0"/>
  </cellStyles>
  <dxfs count="11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:G33"/>
    </sheetView>
  </sheetViews>
  <sheetFormatPr baseColWidth="8" defaultRowHeight="14.4"/>
  <cols>
    <col width="46.5546875" bestFit="1" customWidth="1" min="1" max="1"/>
    <col width="12" bestFit="1" customWidth="1" min="2" max="2"/>
    <col width="8.6640625" bestFit="1" customWidth="1" min="3" max="3"/>
    <col width="19.6640625" bestFit="1" customWidth="1" min="4" max="4"/>
    <col width="15.88671875" bestFit="1" customWidth="1" min="5" max="5"/>
    <col width="12" bestFit="1" customWidth="1" min="6" max="6"/>
    <col width="10.109375" bestFit="1" customWidth="1" min="7" max="7"/>
  </cols>
  <sheetData>
    <row r="1">
      <c r="A1" t="inlineStr">
        <is>
          <t>Name</t>
        </is>
      </c>
      <c r="B1" t="inlineStr">
        <is>
          <t>Portfolio</t>
        </is>
      </c>
      <c r="C1" t="inlineStr">
        <is>
          <t>Ref. Curr.</t>
        </is>
      </c>
      <c r="D1" t="inlineStr">
        <is>
          <t>Market Value Ref. Curr.</t>
        </is>
      </c>
      <c r="E1" t="inlineStr">
        <is>
          <t>Current Value USD</t>
        </is>
      </c>
      <c r="F1" t="inlineStr">
        <is>
          <t>Cash USD</t>
        </is>
      </c>
      <c r="G1" t="inlineStr">
        <is>
          <t>YTD TWRR</t>
        </is>
      </c>
    </row>
    <row r="2">
      <c r="A2" t="inlineStr">
        <is>
          <t>Alemagna, Alberto Pietro</t>
        </is>
      </c>
      <c r="B2" t="n">
        <v>1627998.001</v>
      </c>
      <c r="C2" t="inlineStr">
        <is>
          <t>EUR</t>
        </is>
      </c>
      <c r="D2" t="n">
        <v>2825552.11</v>
      </c>
      <c r="E2" t="n">
        <v>3148920.47159799</v>
      </c>
      <c r="F2" t="n">
        <v>2076.24070164</v>
      </c>
      <c r="G2" s="1" t="n">
        <v>-0.003</v>
      </c>
    </row>
    <row r="3">
      <c r="A3" t="inlineStr">
        <is>
          <t>Alemagna, Tancredi Luigi</t>
        </is>
      </c>
      <c r="B3" t="n">
        <v>1619782.001</v>
      </c>
      <c r="C3" t="inlineStr">
        <is>
          <t>EUR</t>
        </is>
      </c>
      <c r="D3" t="n">
        <v>2613571.66</v>
      </c>
      <c r="E3" t="n">
        <v>2912680.06526425</v>
      </c>
      <c r="F3" t="n">
        <v>1097.78916102</v>
      </c>
      <c r="G3" s="1" t="n">
        <v>-0.01</v>
      </c>
    </row>
    <row r="4">
      <c r="A4" t="inlineStr">
        <is>
          <t>Ancona, Giselda</t>
        </is>
      </c>
      <c r="B4" t="n">
        <v>1648638.001</v>
      </c>
      <c r="C4" t="inlineStr">
        <is>
          <t>EUR</t>
        </is>
      </c>
      <c r="D4" t="n">
        <v>970166.51</v>
      </c>
      <c r="E4" t="n">
        <v>1081196.54682206</v>
      </c>
      <c r="F4" t="n">
        <v>1170.08025909</v>
      </c>
      <c r="G4" s="1" t="n">
        <v>-0.0114</v>
      </c>
    </row>
    <row r="5">
      <c r="A5" t="inlineStr">
        <is>
          <t>Bertini, Marco</t>
        </is>
      </c>
      <c r="B5" t="n">
        <v>112029.001</v>
      </c>
      <c r="C5" t="inlineStr">
        <is>
          <t>USD</t>
        </is>
      </c>
      <c r="D5" t="n">
        <v>1545708.97</v>
      </c>
      <c r="E5" t="n">
        <v>1545708.97</v>
      </c>
      <c r="F5" t="n">
        <v>927.5599999999999</v>
      </c>
      <c r="G5" s="1" t="n">
        <v>-0.0519</v>
      </c>
    </row>
    <row r="6">
      <c r="A6" t="inlineStr">
        <is>
          <t>BISVALLES ASSETS INC.</t>
        </is>
      </c>
      <c r="B6" t="n">
        <v>1649314.001</v>
      </c>
      <c r="C6" t="inlineStr">
        <is>
          <t>EUR</t>
        </is>
      </c>
      <c r="D6" t="n">
        <v>9685868.48</v>
      </c>
      <c r="E6" t="n">
        <v>10794361.0149443</v>
      </c>
      <c r="F6" t="n">
        <v>4336.29196833</v>
      </c>
      <c r="G6" s="1" t="n">
        <v>-0.0121</v>
      </c>
    </row>
    <row r="7">
      <c r="A7" t="inlineStr">
        <is>
          <t>Bucchioni, Fabio</t>
        </is>
      </c>
      <c r="B7" t="n">
        <v>1592092.001</v>
      </c>
      <c r="C7" t="inlineStr">
        <is>
          <t>EUR</t>
        </is>
      </c>
      <c r="D7" t="n">
        <v>492926.09</v>
      </c>
      <c r="E7" t="n">
        <v>549338.67625105</v>
      </c>
      <c r="F7" t="n">
        <v>1151.36776</v>
      </c>
      <c r="G7" s="1" t="n">
        <v>-0.0116</v>
      </c>
    </row>
    <row r="8">
      <c r="A8" t="inlineStr">
        <is>
          <t>Cariboni, Elisa</t>
        </is>
      </c>
      <c r="B8" t="n">
        <v>1600379.001</v>
      </c>
      <c r="C8" t="inlineStr">
        <is>
          <t>EUR</t>
        </is>
      </c>
      <c r="D8" t="n">
        <v>1284400.28</v>
      </c>
      <c r="E8" t="n">
        <v>1431392.58380841</v>
      </c>
      <c r="F8" t="n">
        <v>1023.46021232</v>
      </c>
      <c r="G8" s="1" t="n">
        <v>-0.0111</v>
      </c>
    </row>
    <row r="9">
      <c r="A9" t="inlineStr">
        <is>
          <t>Fariniundici S.p.A.</t>
        </is>
      </c>
      <c r="B9" t="n">
        <v>1644446.001</v>
      </c>
      <c r="C9" t="inlineStr">
        <is>
          <t>EUR</t>
        </is>
      </c>
      <c r="D9" t="n">
        <v>10889121.86</v>
      </c>
      <c r="E9" t="n">
        <v>12135319.8977736</v>
      </c>
      <c r="F9" t="n">
        <v>3492.50699904</v>
      </c>
      <c r="G9" s="1" t="n">
        <v>0.0001</v>
      </c>
    </row>
    <row r="10">
      <c r="A10" t="inlineStr">
        <is>
          <t>Galli, Federico</t>
        </is>
      </c>
      <c r="B10" t="n">
        <v>1621661.001</v>
      </c>
      <c r="C10" t="inlineStr">
        <is>
          <t>EUR</t>
        </is>
      </c>
      <c r="D10" t="n">
        <v>550025.1</v>
      </c>
      <c r="E10" t="n">
        <v>612972.34305218</v>
      </c>
      <c r="F10" t="n">
        <v>587.24174763</v>
      </c>
      <c r="G10" s="1" t="n">
        <v>-0.0109</v>
      </c>
    </row>
    <row r="11">
      <c r="A11" t="inlineStr">
        <is>
          <t>Hera Società Fiduciaria e di revisione S.p.A. -   05250</t>
        </is>
      </c>
      <c r="B11" t="n">
        <v>1696403.001</v>
      </c>
      <c r="C11" t="inlineStr">
        <is>
          <t>EUR</t>
        </is>
      </c>
      <c r="D11" t="n">
        <v>653903.9399999999</v>
      </c>
      <c r="E11" t="n">
        <v>728739.5252195901</v>
      </c>
      <c r="F11" t="n">
        <v>216.07424929</v>
      </c>
      <c r="G11" s="1" t="n">
        <v>-0.0036</v>
      </c>
    </row>
    <row r="12">
      <c r="A12" t="inlineStr">
        <is>
          <t>Hera Società Fiduciaria e di revisione S.p.A. - - 05361</t>
        </is>
      </c>
      <c r="B12" t="n">
        <v>1706128.001</v>
      </c>
      <c r="C12" t="inlineStr">
        <is>
          <t>EUR</t>
        </is>
      </c>
      <c r="D12" t="n">
        <v>1012590.81</v>
      </c>
      <c r="E12" t="n">
        <v>1128476.06656279</v>
      </c>
      <c r="F12" t="n">
        <v>976.5184911699999</v>
      </c>
      <c r="G12" s="1" t="n">
        <v>-0.0143</v>
      </c>
    </row>
    <row r="13">
      <c r="A13" t="inlineStr">
        <is>
          <t>Laruffa, Alessia</t>
        </is>
      </c>
      <c r="B13" t="n">
        <v>1596151.001</v>
      </c>
      <c r="C13" t="inlineStr">
        <is>
          <t>EUR</t>
        </is>
      </c>
      <c r="D13" t="n">
        <v>2324949.56</v>
      </c>
      <c r="E13" t="n">
        <v>2591026.808179</v>
      </c>
      <c r="F13" t="n">
        <v>47798.44277473</v>
      </c>
      <c r="G13" s="1" t="n">
        <v>-0.009900000000000001</v>
      </c>
    </row>
    <row r="14">
      <c r="A14" t="inlineStr">
        <is>
          <t>Laruffa, Serena</t>
        </is>
      </c>
      <c r="B14" t="n">
        <v>1596193.003</v>
      </c>
      <c r="C14" t="inlineStr">
        <is>
          <t>EUR</t>
        </is>
      </c>
      <c r="D14" t="n">
        <v>-306094.67</v>
      </c>
      <c r="E14" t="n">
        <v>-341125.46330282</v>
      </c>
      <c r="F14" t="n">
        <v>37.73508434</v>
      </c>
      <c r="G14" s="1" t="n">
        <v>877.0229</v>
      </c>
    </row>
    <row r="15">
      <c r="A15" t="inlineStr">
        <is>
          <t>Laruffa, Serena</t>
        </is>
      </c>
      <c r="B15" t="n">
        <v>1596193.001</v>
      </c>
      <c r="C15" t="inlineStr">
        <is>
          <t>EUR</t>
        </is>
      </c>
      <c r="D15" t="n">
        <v>3045621.43</v>
      </c>
      <c r="E15" t="n">
        <v>3394175.47307756</v>
      </c>
      <c r="F15" t="n">
        <v>1201.66334715</v>
      </c>
      <c r="G15" s="1" t="n">
        <v>-0.006</v>
      </c>
    </row>
    <row r="16">
      <c r="A16" t="inlineStr">
        <is>
          <t>Laruffa, Sergio</t>
        </is>
      </c>
      <c r="B16" t="n">
        <v>1591822.006</v>
      </c>
      <c r="C16" t="inlineStr">
        <is>
          <t>USD</t>
        </is>
      </c>
      <c r="D16" t="n">
        <v>86167.72</v>
      </c>
      <c r="E16" t="n">
        <v>86167.72</v>
      </c>
      <c r="F16" t="n">
        <v>31873.99</v>
      </c>
      <c r="G16" s="1" t="n">
        <v>-0.0351</v>
      </c>
    </row>
    <row r="17">
      <c r="A17" t="inlineStr">
        <is>
          <t>Laruffa, Sergio</t>
        </is>
      </c>
      <c r="B17" t="n">
        <v>1591822.005</v>
      </c>
      <c r="C17" t="inlineStr">
        <is>
          <t>EUR</t>
        </is>
      </c>
      <c r="D17" t="n">
        <v>-2019932.9</v>
      </c>
      <c r="E17" t="n">
        <v>-2251102.7269868</v>
      </c>
      <c r="F17" t="n">
        <v>15.35704259</v>
      </c>
      <c r="G17" s="1" t="n">
        <v>0.0251</v>
      </c>
    </row>
    <row r="18">
      <c r="A18" t="inlineStr">
        <is>
          <t>Laruffa, Sergio</t>
        </is>
      </c>
      <c r="B18" t="n">
        <v>1591822.004</v>
      </c>
      <c r="C18" t="inlineStr">
        <is>
          <t>USD</t>
        </is>
      </c>
      <c r="D18" t="n">
        <v>93.45</v>
      </c>
      <c r="E18" t="n">
        <v>93.45</v>
      </c>
      <c r="F18" t="n">
        <v>93.45</v>
      </c>
      <c r="G18" s="1" t="n">
        <v>-0.0379</v>
      </c>
    </row>
    <row r="19">
      <c r="A19" t="inlineStr">
        <is>
          <t>Laruffa, Sergio</t>
        </is>
      </c>
      <c r="B19" t="n">
        <v>1591822.001</v>
      </c>
      <c r="C19" t="inlineStr">
        <is>
          <t>USD</t>
        </is>
      </c>
      <c r="D19" t="n">
        <v>4898103.53</v>
      </c>
      <c r="E19" t="n">
        <v>4898103.53</v>
      </c>
      <c r="F19" t="n">
        <v>1656.41</v>
      </c>
      <c r="G19" s="1" t="n">
        <v>-0.0529</v>
      </c>
    </row>
    <row r="20">
      <c r="A20" t="inlineStr">
        <is>
          <t>Lettieri, Riccardo</t>
        </is>
      </c>
      <c r="B20" t="n">
        <v>1660765.002</v>
      </c>
      <c r="C20" t="inlineStr">
        <is>
          <t>EUR</t>
        </is>
      </c>
      <c r="D20" t="n">
        <v>-531422.8</v>
      </c>
      <c r="E20" t="n">
        <v>-592241.11566427</v>
      </c>
      <c r="G20" s="1" t="n">
        <v>0.0264</v>
      </c>
    </row>
    <row r="21">
      <c r="A21" t="inlineStr">
        <is>
          <t>Lettieri, Riccardo</t>
        </is>
      </c>
      <c r="B21" t="n">
        <v>1660765.001</v>
      </c>
      <c r="C21" t="inlineStr">
        <is>
          <t>EUR</t>
        </is>
      </c>
      <c r="D21" t="n">
        <v>828076.74</v>
      </c>
      <c r="E21" t="n">
        <v>922845.41113635</v>
      </c>
      <c r="F21" t="n">
        <v>1062.8018976</v>
      </c>
      <c r="G21" s="1" t="n">
        <v>-0.0157</v>
      </c>
    </row>
    <row r="22">
      <c r="A22" t="inlineStr">
        <is>
          <t>Lettieri, Umberto</t>
        </is>
      </c>
      <c r="B22" t="n">
        <v>1710712.001</v>
      </c>
      <c r="C22" t="inlineStr">
        <is>
          <t>USD</t>
        </is>
      </c>
      <c r="D22" t="n">
        <v>1440819.5</v>
      </c>
      <c r="E22" t="n">
        <v>1440819.5</v>
      </c>
      <c r="F22" t="n">
        <v>3121.65</v>
      </c>
      <c r="G22" s="1" t="n">
        <v>-0.0095</v>
      </c>
    </row>
    <row r="23">
      <c r="A23" t="inlineStr">
        <is>
          <t>Malerba, Maria Clara</t>
        </is>
      </c>
      <c r="B23" t="n">
        <v>1632673.004</v>
      </c>
      <c r="C23" t="inlineStr">
        <is>
          <t>EUR</t>
        </is>
      </c>
      <c r="D23" t="n">
        <v>-715416.0699999999</v>
      </c>
      <c r="E23" t="n">
        <v>-797291.36849407</v>
      </c>
      <c r="F23" t="n">
        <v>698.27737132</v>
      </c>
      <c r="G23" s="1" t="n">
        <v>0.0294</v>
      </c>
    </row>
    <row r="24">
      <c r="A24" t="inlineStr">
        <is>
          <t>Malerba, Maria Clara</t>
        </is>
      </c>
      <c r="B24" t="n">
        <v>1632673.001</v>
      </c>
      <c r="C24" t="inlineStr">
        <is>
          <t>EUR</t>
        </is>
      </c>
      <c r="D24" t="n">
        <v>5260322.37</v>
      </c>
      <c r="E24" t="n">
        <v>5862336.33401222</v>
      </c>
      <c r="F24" t="n">
        <v>1317.66055174</v>
      </c>
      <c r="G24" s="1" t="n">
        <v>-0.0105</v>
      </c>
    </row>
    <row r="25">
      <c r="A25" t="inlineStr">
        <is>
          <t>Marchesi, Riccardo</t>
        </is>
      </c>
      <c r="B25" t="n">
        <v>1592866.001</v>
      </c>
      <c r="C25" t="inlineStr">
        <is>
          <t>EUR</t>
        </is>
      </c>
      <c r="D25" t="n">
        <v>1278060.2</v>
      </c>
      <c r="E25" t="n">
        <v>1424326.91772746</v>
      </c>
      <c r="F25" t="n">
        <v>1449.33656561</v>
      </c>
      <c r="G25" s="1" t="n">
        <v>-0.009900000000000001</v>
      </c>
    </row>
    <row r="26">
      <c r="A26" t="inlineStr">
        <is>
          <t>Minardi, Mario Paolo</t>
        </is>
      </c>
      <c r="B26" t="n">
        <v>1650579.001</v>
      </c>
      <c r="C26" t="inlineStr">
        <is>
          <t>EUR</t>
        </is>
      </c>
      <c r="D26" t="n">
        <v>563035.83</v>
      </c>
      <c r="E26" t="n">
        <v>627472.07706963</v>
      </c>
      <c r="F26" t="n">
        <v>909.19088475</v>
      </c>
      <c r="G26" s="1" t="n">
        <v>-0.011</v>
      </c>
    </row>
    <row r="27">
      <c r="A27" t="inlineStr">
        <is>
          <t>Petrassi, Raffaele</t>
        </is>
      </c>
      <c r="B27" t="n">
        <v>1656189.001</v>
      </c>
      <c r="C27" t="inlineStr">
        <is>
          <t>EUR</t>
        </is>
      </c>
      <c r="D27" t="n">
        <v>314579.32</v>
      </c>
      <c r="E27" t="n">
        <v>350581.13321767</v>
      </c>
      <c r="F27" t="n">
        <v>2025.95751642</v>
      </c>
      <c r="G27" s="1" t="n">
        <v>-0.0094</v>
      </c>
    </row>
    <row r="28">
      <c r="A28" t="inlineStr">
        <is>
          <t>Saira Holding S.r.L.</t>
        </is>
      </c>
      <c r="B28" t="n">
        <v>1690341.001</v>
      </c>
      <c r="C28" t="inlineStr">
        <is>
          <t>EUR</t>
        </is>
      </c>
      <c r="D28" t="n">
        <v>171764.2</v>
      </c>
      <c r="E28" t="n">
        <v>191421.6353517</v>
      </c>
      <c r="F28" t="n">
        <v>868.63085047</v>
      </c>
      <c r="G28" s="1" t="n">
        <v>0.0004</v>
      </c>
    </row>
    <row r="29">
      <c r="A29" t="inlineStr">
        <is>
          <t>Siciliano, Rosanna</t>
        </is>
      </c>
      <c r="B29" t="n">
        <v>1597944.001</v>
      </c>
      <c r="C29" t="inlineStr">
        <is>
          <t>EUR</t>
        </is>
      </c>
      <c r="D29" t="n">
        <v>1674812.68</v>
      </c>
      <c r="E29" t="n">
        <v>1866485.46154185</v>
      </c>
      <c r="F29" t="n">
        <v>536.23684742</v>
      </c>
      <c r="G29" s="1" t="n">
        <v>-0.0065</v>
      </c>
    </row>
    <row r="30">
      <c r="A30" t="inlineStr">
        <is>
          <t>Simon Fiduciaria S.p.A. - POS. FID. 6297</t>
        </is>
      </c>
      <c r="B30" t="n">
        <v>1660666.003</v>
      </c>
      <c r="C30" t="inlineStr">
        <is>
          <t>EUR</t>
        </is>
      </c>
      <c r="D30" t="n">
        <v>2673094.69</v>
      </c>
      <c r="E30" t="n">
        <v>2979015.16736171</v>
      </c>
      <c r="F30" t="n">
        <v>2749.62506972</v>
      </c>
      <c r="G30" s="1" t="n">
        <v>-0.001</v>
      </c>
    </row>
    <row r="31">
      <c r="A31" t="inlineStr">
        <is>
          <t>Simon Fiduciaria S.p.A. - POS. FID. 6297</t>
        </is>
      </c>
      <c r="B31" t="n">
        <v>1660666.001</v>
      </c>
      <c r="C31" t="inlineStr">
        <is>
          <t>EUR</t>
        </is>
      </c>
      <c r="D31" t="n">
        <v>3766957.64</v>
      </c>
      <c r="E31" t="n">
        <v>4198064.50790903</v>
      </c>
      <c r="F31" t="n">
        <v>5485.04437289</v>
      </c>
      <c r="G31" s="1" t="n">
        <v>-0.0005999999999999999</v>
      </c>
    </row>
    <row r="32">
      <c r="A32" t="inlineStr">
        <is>
          <t>Terenzi, Federico</t>
        </is>
      </c>
      <c r="B32" t="n">
        <v>1620379.001</v>
      </c>
      <c r="C32" t="inlineStr">
        <is>
          <t>EUR</t>
        </is>
      </c>
      <c r="D32" t="n">
        <v>122054.35</v>
      </c>
      <c r="E32" t="n">
        <v>136022.77586825</v>
      </c>
      <c r="F32" t="n">
        <v>16.62150935</v>
      </c>
      <c r="G32" s="1" t="n">
        <v>-0.0098</v>
      </c>
    </row>
    <row r="33">
      <c r="A33" t="inlineStr">
        <is>
          <t>Virlinzi, Francesco</t>
        </is>
      </c>
      <c r="B33" t="n">
        <v>1648903.001</v>
      </c>
      <c r="C33" t="inlineStr">
        <is>
          <t>EUR</t>
        </is>
      </c>
      <c r="D33" t="n">
        <v>9267760.93</v>
      </c>
      <c r="E33" t="n">
        <v>10328403.4348788</v>
      </c>
      <c r="F33" t="n">
        <v>5193.71298908</v>
      </c>
      <c r="G33" s="1" t="n">
        <v>-0.0097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1"/>
  <sheetViews>
    <sheetView workbookViewId="0">
      <selection activeCell="A1" sqref="A1:Q461"/>
    </sheetView>
  </sheetViews>
  <sheetFormatPr baseColWidth="8" defaultRowHeight="14.4"/>
  <cols>
    <col width="11.109375" bestFit="1" customWidth="1" min="13" max="13"/>
  </cols>
  <sheetData>
    <row r="1">
      <c r="A1" t="inlineStr">
        <is>
          <t>Description</t>
        </is>
      </c>
      <c r="B1" t="inlineStr">
        <is>
          <t>ISIN</t>
        </is>
      </c>
      <c r="C1" t="inlineStr">
        <is>
          <t>Name / Symbol</t>
        </is>
      </c>
      <c r="D1" t="inlineStr">
        <is>
          <t>Portfolio</t>
        </is>
      </c>
      <c r="E1" t="inlineStr">
        <is>
          <t>Trading Curr.</t>
        </is>
      </c>
      <c r="F1" t="inlineStr">
        <is>
          <t>Ref. Curr.</t>
        </is>
      </c>
      <c r="G1" t="inlineStr">
        <is>
          <t>Quantity</t>
        </is>
      </c>
      <c r="H1" t="inlineStr">
        <is>
          <t>Maturity</t>
        </is>
      </c>
      <c r="I1" t="inlineStr">
        <is>
          <t>YTM</t>
        </is>
      </c>
      <c r="J1" t="inlineStr">
        <is>
          <t>Cost price</t>
        </is>
      </c>
      <c r="K1" t="inlineStr">
        <is>
          <t>Market price</t>
        </is>
      </c>
      <c r="L1" t="inlineStr">
        <is>
          <t>Exchange rate</t>
        </is>
      </c>
      <c r="M1" t="inlineStr">
        <is>
          <t>Market value</t>
        </is>
      </c>
      <c r="N1" t="inlineStr">
        <is>
          <t>Accrued Interest</t>
        </is>
      </c>
      <c r="O1" t="inlineStr">
        <is>
          <t>Change price</t>
        </is>
      </c>
      <c r="P1" t="inlineStr">
        <is>
          <t>Change total</t>
        </is>
      </c>
      <c r="Q1" t="inlineStr">
        <is>
          <t>% of net assets</t>
        </is>
      </c>
    </row>
    <row r="2">
      <c r="A2" t="inlineStr">
        <is>
          <t>0% Italy Treasury Bills 14.01.2027 Reg-S Senior</t>
        </is>
      </c>
      <c r="B2" t="inlineStr">
        <is>
          <t>IT0005689887</t>
        </is>
      </c>
      <c r="C2" t="inlineStr">
        <is>
          <t>Petrassi, Raffaele</t>
        </is>
      </c>
      <c r="D2" t="n">
        <v>1656189.001</v>
      </c>
      <c r="E2" t="inlineStr">
        <is>
          <t>EUR</t>
        </is>
      </c>
      <c r="F2" t="inlineStr">
        <is>
          <t>EUR</t>
        </is>
      </c>
      <c r="G2" t="n">
        <v>17000</v>
      </c>
      <c r="H2" t="inlineStr">
        <is>
          <t>2027-01-13T23:00:00Z</t>
        </is>
      </c>
      <c r="J2" t="n">
        <v>99.4346470588235</v>
      </c>
      <c r="K2" t="n">
        <v>99.425</v>
      </c>
      <c r="L2" t="n">
        <v>1</v>
      </c>
      <c r="M2" t="n">
        <v>16902.25</v>
      </c>
      <c r="O2" t="n">
        <v>-0.00970190885056635</v>
      </c>
      <c r="P2" t="n">
        <v>-0.00970190885056635</v>
      </c>
      <c r="Q2" t="n">
        <v>5.37296920852902</v>
      </c>
    </row>
    <row r="3">
      <c r="A3" t="inlineStr">
        <is>
          <t>0% Italy Treasury Bills 14.01.2027 Reg-S Senior</t>
        </is>
      </c>
      <c r="B3" t="inlineStr">
        <is>
          <t>IT0005689887</t>
        </is>
      </c>
      <c r="C3" t="inlineStr">
        <is>
          <t>Laruffa, Sergio</t>
        </is>
      </c>
      <c r="D3" t="n">
        <v>1591822.001</v>
      </c>
      <c r="E3" t="inlineStr">
        <is>
          <t>EUR</t>
        </is>
      </c>
      <c r="F3" t="inlineStr">
        <is>
          <t>USD</t>
        </is>
      </c>
      <c r="G3" t="n">
        <v>5000</v>
      </c>
      <c r="H3" t="inlineStr">
        <is>
          <t>2027-01-13T23:00:00Z</t>
        </is>
      </c>
      <c r="J3" t="n">
        <v>99.4346</v>
      </c>
      <c r="K3" t="n">
        <v>99.425</v>
      </c>
      <c r="L3" t="n">
        <v>1.1144</v>
      </c>
      <c r="M3" t="n">
        <v>4971.25</v>
      </c>
      <c r="O3" t="n">
        <v>-0.009654587035096441</v>
      </c>
      <c r="P3" t="n">
        <v>0.196226305899629</v>
      </c>
      <c r="Q3" t="n">
        <v>0.113108674940564</v>
      </c>
    </row>
    <row r="4">
      <c r="A4" t="inlineStr">
        <is>
          <t>0% Italy Treasury Bills 14.01.2027 Reg-S Senior</t>
        </is>
      </c>
      <c r="B4" t="inlineStr">
        <is>
          <t>IT0005689887</t>
        </is>
      </c>
      <c r="C4" t="inlineStr">
        <is>
          <t>Bucchioni, Fabio</t>
        </is>
      </c>
      <c r="D4" t="n">
        <v>1592092.001</v>
      </c>
      <c r="E4" t="inlineStr">
        <is>
          <t>EUR</t>
        </is>
      </c>
      <c r="F4" t="inlineStr">
        <is>
          <t>EUR</t>
        </is>
      </c>
      <c r="G4" t="n">
        <v>22000</v>
      </c>
      <c r="H4" t="inlineStr">
        <is>
          <t>2027-01-13T23:00:00Z</t>
        </is>
      </c>
      <c r="J4" t="n">
        <v>99.4349545454545</v>
      </c>
      <c r="K4" t="n">
        <v>99.425</v>
      </c>
      <c r="L4" t="n">
        <v>1</v>
      </c>
      <c r="M4" t="n">
        <v>21873.5</v>
      </c>
      <c r="O4" t="n">
        <v>-0.0100111127923279</v>
      </c>
      <c r="P4" t="n">
        <v>-0.0100111127923279</v>
      </c>
      <c r="Q4" t="n">
        <v>4.43748067788418</v>
      </c>
    </row>
    <row r="5">
      <c r="A5" t="inlineStr">
        <is>
          <t>0% Italy Treasury Bills 14.01.2027 Reg-S Senior</t>
        </is>
      </c>
      <c r="B5" t="inlineStr">
        <is>
          <t>IT0005689887</t>
        </is>
      </c>
      <c r="C5" t="inlineStr">
        <is>
          <t>Alemagna, Alberto Pietro</t>
        </is>
      </c>
      <c r="D5" t="n">
        <v>1627998.001</v>
      </c>
      <c r="E5" t="inlineStr">
        <is>
          <t>EUR</t>
        </is>
      </c>
      <c r="F5" t="inlineStr">
        <is>
          <t>EUR</t>
        </is>
      </c>
      <c r="G5" t="n">
        <v>132000</v>
      </c>
      <c r="H5" t="inlineStr">
        <is>
          <t>2027-01-13T23:00:00Z</t>
        </is>
      </c>
      <c r="J5" t="n">
        <v>99.43493181818179</v>
      </c>
      <c r="K5" t="n">
        <v>99.425</v>
      </c>
      <c r="L5" t="n">
        <v>1</v>
      </c>
      <c r="M5" t="n">
        <v>131241</v>
      </c>
      <c r="O5" t="n">
        <v>-0.00998825865338617</v>
      </c>
      <c r="P5" t="n">
        <v>-0.00998825865338617</v>
      </c>
      <c r="Q5" t="n">
        <v>4.64479135017616</v>
      </c>
    </row>
    <row r="6">
      <c r="A6" t="inlineStr">
        <is>
          <t>0% Italy Treasury Bills 14.01.2027 Reg-S Senior</t>
        </is>
      </c>
      <c r="B6" t="inlineStr">
        <is>
          <t>IT0005689887</t>
        </is>
      </c>
      <c r="C6" t="inlineStr">
        <is>
          <t>Simon Fiduciaria S.p.A. - POS. FID. 6297</t>
        </is>
      </c>
      <c r="D6" t="n">
        <v>1660666.001</v>
      </c>
      <c r="E6" t="inlineStr">
        <is>
          <t>EUR</t>
        </is>
      </c>
      <c r="F6" t="inlineStr">
        <is>
          <t>EUR</t>
        </is>
      </c>
      <c r="G6" t="n">
        <v>240000</v>
      </c>
      <c r="H6" t="inlineStr">
        <is>
          <t>2027-01-13T23:00:00Z</t>
        </is>
      </c>
      <c r="J6" t="n">
        <v>99.37344166666659</v>
      </c>
      <c r="K6" t="n">
        <v>99.425</v>
      </c>
      <c r="L6" t="n">
        <v>1</v>
      </c>
      <c r="M6" t="n">
        <v>238620</v>
      </c>
      <c r="O6" t="n">
        <v>0.0518834131822444</v>
      </c>
      <c r="P6" t="n">
        <v>0.0518834131822444</v>
      </c>
      <c r="Q6" t="n">
        <v>6.334554906224</v>
      </c>
    </row>
    <row r="7">
      <c r="A7" t="inlineStr">
        <is>
          <t>0% Italy Treasury Bills 14.01.2027 Reg-S Senior</t>
        </is>
      </c>
      <c r="B7" t="inlineStr">
        <is>
          <t>IT0005689887</t>
        </is>
      </c>
      <c r="C7" t="inlineStr">
        <is>
          <t>Marchesi, Riccardo</t>
        </is>
      </c>
      <c r="D7" t="n">
        <v>1592866.001</v>
      </c>
      <c r="E7" t="inlineStr">
        <is>
          <t>EUR</t>
        </is>
      </c>
      <c r="F7" t="inlineStr">
        <is>
          <t>EUR</t>
        </is>
      </c>
      <c r="G7" t="n">
        <v>58000</v>
      </c>
      <c r="H7" t="inlineStr">
        <is>
          <t>2027-01-13T23:00:00Z</t>
        </is>
      </c>
      <c r="J7" t="n">
        <v>99.4351724137931</v>
      </c>
      <c r="K7" t="n">
        <v>99.425</v>
      </c>
      <c r="L7" t="n">
        <v>1</v>
      </c>
      <c r="M7" t="n">
        <v>57666.5</v>
      </c>
      <c r="O7" t="n">
        <v>-0.0102301967665642</v>
      </c>
      <c r="P7" t="n">
        <v>-0.0102301967665642</v>
      </c>
      <c r="Q7" t="n">
        <v>4.51203315774953</v>
      </c>
    </row>
    <row r="8">
      <c r="A8" t="inlineStr">
        <is>
          <t>0% Italy Treasury Bills 14.01.2027 Reg-S Senior</t>
        </is>
      </c>
      <c r="B8" t="inlineStr">
        <is>
          <t>IT0005689887</t>
        </is>
      </c>
      <c r="C8" t="inlineStr">
        <is>
          <t>Minardi, Mario Paolo</t>
        </is>
      </c>
      <c r="D8" t="n">
        <v>1650579.001</v>
      </c>
      <c r="E8" t="inlineStr">
        <is>
          <t>EUR</t>
        </is>
      </c>
      <c r="F8" t="inlineStr">
        <is>
          <t>EUR</t>
        </is>
      </c>
      <c r="G8" t="n">
        <v>26000</v>
      </c>
      <c r="H8" t="inlineStr">
        <is>
          <t>2027-01-13T23:00:00Z</t>
        </is>
      </c>
      <c r="J8" t="n">
        <v>99.43465384615379</v>
      </c>
      <c r="K8" t="n">
        <v>99.425</v>
      </c>
      <c r="L8" t="n">
        <v>1</v>
      </c>
      <c r="M8" t="n">
        <v>25850.5</v>
      </c>
      <c r="O8" t="n">
        <v>-0.00970873410871693</v>
      </c>
      <c r="P8" t="n">
        <v>-0.00970873410871693</v>
      </c>
      <c r="Q8" t="n">
        <v>4.59127086103916</v>
      </c>
    </row>
    <row r="9">
      <c r="A9" t="inlineStr">
        <is>
          <t>0% Italy Treasury Bills 14.01.2027 Reg-S Senior</t>
        </is>
      </c>
      <c r="B9" t="inlineStr">
        <is>
          <t>IT0005689887</t>
        </is>
      </c>
      <c r="C9" t="inlineStr">
        <is>
          <t>Cariboni, Elisa</t>
        </is>
      </c>
      <c r="D9" t="n">
        <v>1600379.001</v>
      </c>
      <c r="E9" t="inlineStr">
        <is>
          <t>EUR</t>
        </is>
      </c>
      <c r="F9" t="inlineStr">
        <is>
          <t>EUR</t>
        </is>
      </c>
      <c r="G9" t="n">
        <v>55000</v>
      </c>
      <c r="H9" t="inlineStr">
        <is>
          <t>2027-01-13T23:00:00Z</t>
        </is>
      </c>
      <c r="J9" t="n">
        <v>99.4351818181818</v>
      </c>
      <c r="K9" t="n">
        <v>99.425</v>
      </c>
      <c r="L9" t="n">
        <v>1</v>
      </c>
      <c r="M9" t="n">
        <v>54683.75</v>
      </c>
      <c r="O9" t="n">
        <v>-0.0102396536071465</v>
      </c>
      <c r="P9" t="n">
        <v>-0.0102396536071465</v>
      </c>
      <c r="Q9" t="n">
        <v>4.25753177194885</v>
      </c>
    </row>
    <row r="10">
      <c r="A10" t="inlineStr">
        <is>
          <t>0% Italy Treasury Bills 14.01.2027 Reg-S Senior</t>
        </is>
      </c>
      <c r="B10" t="inlineStr">
        <is>
          <t>IT0005689887</t>
        </is>
      </c>
      <c r="C10" t="inlineStr">
        <is>
          <t>Laruffa, Sergio</t>
        </is>
      </c>
      <c r="D10" t="n">
        <v>1591822.006</v>
      </c>
      <c r="E10" t="inlineStr">
        <is>
          <t>EUR</t>
        </is>
      </c>
      <c r="F10" t="inlineStr">
        <is>
          <t>USD</t>
        </is>
      </c>
      <c r="G10" t="n">
        <v>49000</v>
      </c>
      <c r="H10" t="inlineStr">
        <is>
          <t>2027-01-13T23:00:00Z</t>
        </is>
      </c>
      <c r="J10" t="n">
        <v>99.43465306122449</v>
      </c>
      <c r="K10" t="n">
        <v>99.425</v>
      </c>
      <c r="L10" t="n">
        <v>1.1144</v>
      </c>
      <c r="M10" t="n">
        <v>48718.25</v>
      </c>
      <c r="O10" t="n">
        <v>-0.009707944793196151</v>
      </c>
      <c r="P10" t="n">
        <v>0.196133794694348</v>
      </c>
      <c r="Q10" t="n">
        <v>63.0094193045841</v>
      </c>
    </row>
    <row r="11">
      <c r="A11" t="inlineStr">
        <is>
          <t>0% Italy Treasury Bills 14.01.2027 Reg-S Senior</t>
        </is>
      </c>
      <c r="B11" t="inlineStr">
        <is>
          <t>IT0005689887</t>
        </is>
      </c>
      <c r="C11" t="inlineStr">
        <is>
          <t>Simon Fiduciaria S.p.A. - POS. FID. 6297</t>
        </is>
      </c>
      <c r="D11" t="n">
        <v>1660666.003</v>
      </c>
      <c r="E11" t="inlineStr">
        <is>
          <t>EUR</t>
        </is>
      </c>
      <c r="F11" t="inlineStr">
        <is>
          <t>EUR</t>
        </is>
      </c>
      <c r="G11" t="n">
        <v>92000</v>
      </c>
      <c r="H11" t="inlineStr">
        <is>
          <t>2027-01-13T23:00:00Z</t>
        </is>
      </c>
      <c r="J11" t="n">
        <v>99.3734456521739</v>
      </c>
      <c r="K11" t="n">
        <v>99.425</v>
      </c>
      <c r="L11" t="n">
        <v>1</v>
      </c>
      <c r="M11" t="n">
        <v>91471</v>
      </c>
      <c r="O11" t="n">
        <v>0.0518794004653285</v>
      </c>
      <c r="P11" t="n">
        <v>0.0518794004653285</v>
      </c>
      <c r="Q11" t="n">
        <v>3.42191394649023</v>
      </c>
    </row>
    <row r="12">
      <c r="A12" t="inlineStr">
        <is>
          <t>0% Italy Treasury Bills 14.01.2027 Reg-S Senior</t>
        </is>
      </c>
      <c r="B12" t="inlineStr">
        <is>
          <t>IT0005689887</t>
        </is>
      </c>
      <c r="C12" t="inlineStr">
        <is>
          <t>Ancona, Giselda</t>
        </is>
      </c>
      <c r="D12" t="n">
        <v>1648638.001</v>
      </c>
      <c r="E12" t="inlineStr">
        <is>
          <t>EUR</t>
        </is>
      </c>
      <c r="F12" t="inlineStr">
        <is>
          <t>EUR</t>
        </is>
      </c>
      <c r="G12" t="n">
        <v>19000</v>
      </c>
      <c r="H12" t="inlineStr">
        <is>
          <t>2027-01-13T23:00:00Z</t>
        </is>
      </c>
      <c r="J12" t="n">
        <v>99.4344736842105</v>
      </c>
      <c r="K12" t="n">
        <v>99.425</v>
      </c>
      <c r="L12" t="n">
        <v>1</v>
      </c>
      <c r="M12" t="n">
        <v>18890.75</v>
      </c>
      <c r="O12" t="n">
        <v>-0.00952756509841181</v>
      </c>
      <c r="P12" t="n">
        <v>-0.00952756509841181</v>
      </c>
      <c r="Q12" t="n">
        <v>1.94716574992884</v>
      </c>
    </row>
    <row r="13">
      <c r="A13" t="inlineStr">
        <is>
          <t>0% Italy Treasury Bills 14.01.2027 Reg-S Senior</t>
        </is>
      </c>
      <c r="B13" t="inlineStr">
        <is>
          <t>IT0005689887</t>
        </is>
      </c>
      <c r="C13" t="inlineStr">
        <is>
          <t>Galli, Federico</t>
        </is>
      </c>
      <c r="D13" t="n">
        <v>1621661.001</v>
      </c>
      <c r="E13" t="inlineStr">
        <is>
          <t>EUR</t>
        </is>
      </c>
      <c r="F13" t="inlineStr">
        <is>
          <t>EUR</t>
        </is>
      </c>
      <c r="G13" t="n">
        <v>26000</v>
      </c>
      <c r="H13" t="inlineStr">
        <is>
          <t>2027-01-13T23:00:00Z</t>
        </is>
      </c>
      <c r="J13" t="n">
        <v>99.4346923076923</v>
      </c>
      <c r="K13" t="n">
        <v>99.425</v>
      </c>
      <c r="L13" t="n">
        <v>1</v>
      </c>
      <c r="M13" t="n">
        <v>25850.5</v>
      </c>
      <c r="O13" t="n">
        <v>-0.0097474105539701</v>
      </c>
      <c r="P13" t="n">
        <v>-0.0097474105539701</v>
      </c>
      <c r="Q13" t="n">
        <v>4.69987642382138</v>
      </c>
    </row>
    <row r="14">
      <c r="A14" t="inlineStr">
        <is>
          <t>0% Italy Treasury Bills 14.01.2027 Reg-S Senior</t>
        </is>
      </c>
      <c r="B14" t="inlineStr">
        <is>
          <t>IT0005689887</t>
        </is>
      </c>
      <c r="C14" t="inlineStr">
        <is>
          <t>Laruffa, Serena</t>
        </is>
      </c>
      <c r="D14" t="n">
        <v>1596193.001</v>
      </c>
      <c r="E14" t="inlineStr">
        <is>
          <t>EUR</t>
        </is>
      </c>
      <c r="F14" t="inlineStr">
        <is>
          <t>EUR</t>
        </is>
      </c>
      <c r="G14" t="n">
        <v>2000</v>
      </c>
      <c r="H14" t="inlineStr">
        <is>
          <t>2027-01-13T23:00:00Z</t>
        </is>
      </c>
      <c r="J14" t="n">
        <v>99.435</v>
      </c>
      <c r="K14" t="n">
        <v>99.425</v>
      </c>
      <c r="L14" t="n">
        <v>1</v>
      </c>
      <c r="M14" t="n">
        <v>1988.5</v>
      </c>
      <c r="O14" t="n">
        <v>-0.0100568210388696</v>
      </c>
      <c r="P14" t="n">
        <v>-0.0100568210388696</v>
      </c>
      <c r="Q14" t="n">
        <v>0.065290452070401</v>
      </c>
    </row>
    <row r="15">
      <c r="A15" t="inlineStr">
        <is>
          <t>0% Italy Treasury Bills 14.01.2027 Reg-S Senior</t>
        </is>
      </c>
      <c r="B15" t="inlineStr">
        <is>
          <t>IT0005689887</t>
        </is>
      </c>
      <c r="C15" t="inlineStr">
        <is>
          <t>Siciliano, Rosanna</t>
        </is>
      </c>
      <c r="D15" t="n">
        <v>1597944.001</v>
      </c>
      <c r="E15" t="inlineStr">
        <is>
          <t>EUR</t>
        </is>
      </c>
      <c r="F15" t="inlineStr">
        <is>
          <t>EUR</t>
        </is>
      </c>
      <c r="G15" t="n">
        <v>8000</v>
      </c>
      <c r="H15" t="inlineStr">
        <is>
          <t>2027-01-13T23:00:00Z</t>
        </is>
      </c>
      <c r="J15" t="n">
        <v>99.4345</v>
      </c>
      <c r="K15" t="n">
        <v>99.425</v>
      </c>
      <c r="L15" t="n">
        <v>1</v>
      </c>
      <c r="M15" t="n">
        <v>7954</v>
      </c>
      <c r="O15" t="n">
        <v>-0.009554028028501169</v>
      </c>
      <c r="P15" t="n">
        <v>-0.009554028028501169</v>
      </c>
      <c r="Q15" t="n">
        <v>0.474918783156096</v>
      </c>
    </row>
    <row r="16">
      <c r="A16" t="inlineStr">
        <is>
          <t>0% United States Treasury Bills 07.01.2027 Senior</t>
        </is>
      </c>
      <c r="B16" t="inlineStr">
        <is>
          <t>US912797VS30</t>
        </is>
      </c>
      <c r="C16" t="inlineStr">
        <is>
          <t>Lettieri, Umberto</t>
        </is>
      </c>
      <c r="D16" t="n">
        <v>1710712.001</v>
      </c>
      <c r="E16" t="inlineStr">
        <is>
          <t>USD</t>
        </is>
      </c>
      <c r="F16" t="inlineStr">
        <is>
          <t>USD</t>
        </is>
      </c>
      <c r="G16" t="n">
        <v>84500</v>
      </c>
      <c r="H16" t="inlineStr">
        <is>
          <t>2027-01-06T23:00:00Z</t>
        </is>
      </c>
      <c r="J16" t="n">
        <v>99.0991124260355</v>
      </c>
      <c r="K16" t="n">
        <v>99.20869999999999</v>
      </c>
      <c r="L16" t="n">
        <v>1</v>
      </c>
      <c r="M16" t="n">
        <v>83831.35000000001</v>
      </c>
      <c r="O16" t="n">
        <v>0.110582018480094</v>
      </c>
      <c r="P16" t="n">
        <v>0.110582018480094</v>
      </c>
      <c r="Q16" t="n">
        <v>5.81831034352325</v>
      </c>
    </row>
    <row r="17">
      <c r="A17" t="inlineStr">
        <is>
          <t>0% United States Treasury Bills 24.12.2026 Senior</t>
        </is>
      </c>
      <c r="B17" t="inlineStr">
        <is>
          <t>US912797TC16</t>
        </is>
      </c>
      <c r="C17" t="inlineStr">
        <is>
          <t>Saira Holding S.r.L.</t>
        </is>
      </c>
      <c r="D17" t="n">
        <v>1690341.001</v>
      </c>
      <c r="E17" t="inlineStr">
        <is>
          <t>USD</t>
        </is>
      </c>
      <c r="F17" t="inlineStr">
        <is>
          <t>EUR</t>
        </is>
      </c>
      <c r="G17" t="n">
        <v>1200</v>
      </c>
      <c r="H17" t="inlineStr">
        <is>
          <t>2026-12-23T23:00:00Z</t>
        </is>
      </c>
      <c r="J17" t="n">
        <v>98.9825</v>
      </c>
      <c r="K17" t="n">
        <v>99.367</v>
      </c>
      <c r="L17" t="n">
        <v>1.1144</v>
      </c>
      <c r="M17" t="n">
        <v>1192.4</v>
      </c>
      <c r="O17" t="n">
        <v>0.388115744365586</v>
      </c>
      <c r="P17" t="n">
        <v>3.07207675856886</v>
      </c>
      <c r="Q17" t="n">
        <v>0.622917930511713</v>
      </c>
    </row>
    <row r="18">
      <c r="A18" t="inlineStr">
        <is>
          <t>0% United States Treasury Bills 25.03.2027 Senior</t>
        </is>
      </c>
      <c r="B18" t="inlineStr">
        <is>
          <t>US912797WL77</t>
        </is>
      </c>
      <c r="C18" t="inlineStr">
        <is>
          <t>Petrassi, Raffaele</t>
        </is>
      </c>
      <c r="D18" t="n">
        <v>1656189.001</v>
      </c>
      <c r="E18" t="inlineStr">
        <is>
          <t>USD</t>
        </is>
      </c>
      <c r="F18" t="inlineStr">
        <is>
          <t>EUR</t>
        </is>
      </c>
      <c r="G18" t="n">
        <v>10200</v>
      </c>
      <c r="H18" t="inlineStr">
        <is>
          <t>2027-03-24T23:00:00Z</t>
        </is>
      </c>
      <c r="J18" t="n">
        <v>97.9138235294117</v>
      </c>
      <c r="K18" t="n">
        <v>98.3048</v>
      </c>
      <c r="L18" t="n">
        <v>1.1144</v>
      </c>
      <c r="M18" t="n">
        <v>10027.09</v>
      </c>
      <c r="O18" t="n">
        <v>0.399310718408844</v>
      </c>
      <c r="P18" t="n">
        <v>2.71509071231888</v>
      </c>
      <c r="Q18" t="n">
        <v>2.86013397193432</v>
      </c>
    </row>
    <row r="19">
      <c r="A19" t="inlineStr">
        <is>
          <t>0% United States Treasury Bills 25.03.2027 Senior</t>
        </is>
      </c>
      <c r="B19" t="inlineStr">
        <is>
          <t>US912797WL77</t>
        </is>
      </c>
      <c r="C19" t="inlineStr">
        <is>
          <t>Laruffa, Sergio</t>
        </is>
      </c>
      <c r="D19" t="n">
        <v>1591822.001</v>
      </c>
      <c r="E19" t="inlineStr">
        <is>
          <t>USD</t>
        </is>
      </c>
      <c r="F19" t="inlineStr">
        <is>
          <t>USD</t>
        </is>
      </c>
      <c r="G19" t="n">
        <v>97300</v>
      </c>
      <c r="H19" t="inlineStr">
        <is>
          <t>2027-03-24T23:00:00Z</t>
        </is>
      </c>
      <c r="J19" t="n">
        <v>97.9138643371017</v>
      </c>
      <c r="K19" t="n">
        <v>98.3048</v>
      </c>
      <c r="L19" t="n">
        <v>1</v>
      </c>
      <c r="M19" t="n">
        <v>95650.57000000001</v>
      </c>
      <c r="O19" t="n">
        <v>0.399264449876713</v>
      </c>
      <c r="P19" t="n">
        <v>0.399264449876713</v>
      </c>
      <c r="Q19" t="n">
        <v>1.95280825352419</v>
      </c>
    </row>
    <row r="20">
      <c r="A20" t="inlineStr">
        <is>
          <t>0% United States Treasury Bills 25.03.2027 Senior</t>
        </is>
      </c>
      <c r="B20" t="inlineStr">
        <is>
          <t>US912797WL77</t>
        </is>
      </c>
      <c r="C20" t="inlineStr">
        <is>
          <t>Bucchioni, Fabio</t>
        </is>
      </c>
      <c r="D20" t="n">
        <v>1592092.001</v>
      </c>
      <c r="E20" t="inlineStr">
        <is>
          <t>USD</t>
        </is>
      </c>
      <c r="F20" t="inlineStr">
        <is>
          <t>EUR</t>
        </is>
      </c>
      <c r="G20" t="n">
        <v>16800</v>
      </c>
      <c r="H20" t="inlineStr">
        <is>
          <t>2027-03-24T23:00:00Z</t>
        </is>
      </c>
      <c r="J20" t="n">
        <v>97.913869047619</v>
      </c>
      <c r="K20" t="n">
        <v>98.3048</v>
      </c>
      <c r="L20" t="n">
        <v>1.1144</v>
      </c>
      <c r="M20" t="n">
        <v>16515.21</v>
      </c>
      <c r="O20" t="n">
        <v>0.399281924772318</v>
      </c>
      <c r="P20" t="n">
        <v>2.71501962915317</v>
      </c>
      <c r="Q20" t="n">
        <v>3.00637971911772</v>
      </c>
    </row>
    <row r="21">
      <c r="A21" t="inlineStr">
        <is>
          <t>0% United States Treasury Bills 25.03.2027 Senior</t>
        </is>
      </c>
      <c r="B21" t="inlineStr">
        <is>
          <t>US912797WL77</t>
        </is>
      </c>
      <c r="C21" t="inlineStr">
        <is>
          <t>Alemagna, Alberto Pietro</t>
        </is>
      </c>
      <c r="D21" t="n">
        <v>1627998.001</v>
      </c>
      <c r="E21" t="inlineStr">
        <is>
          <t>USD</t>
        </is>
      </c>
      <c r="F21" t="inlineStr">
        <is>
          <t>EUR</t>
        </is>
      </c>
      <c r="G21" t="n">
        <v>95000</v>
      </c>
      <c r="H21" t="inlineStr">
        <is>
          <t>2027-03-24T23:00:00Z</t>
        </is>
      </c>
      <c r="J21" t="n">
        <v>97.91385263157891</v>
      </c>
      <c r="K21" t="n">
        <v>98.3048</v>
      </c>
      <c r="L21" t="n">
        <v>1.1144</v>
      </c>
      <c r="M21" t="n">
        <v>93389.56</v>
      </c>
      <c r="O21" t="n">
        <v>0.399276872387069</v>
      </c>
      <c r="P21" t="n">
        <v>2.71504876497487</v>
      </c>
      <c r="Q21" t="n">
        <v>2.96576445019094</v>
      </c>
    </row>
    <row r="22">
      <c r="A22" t="inlineStr">
        <is>
          <t>0% United States Treasury Bills 25.03.2027 Senior</t>
        </is>
      </c>
      <c r="B22" t="inlineStr">
        <is>
          <t>US912797WL77</t>
        </is>
      </c>
      <c r="C22" t="inlineStr">
        <is>
          <t>Simon Fiduciaria S.p.A. - POS. FID. 6297</t>
        </is>
      </c>
      <c r="D22" t="n">
        <v>1660666.001</v>
      </c>
      <c r="E22" t="inlineStr">
        <is>
          <t>USD</t>
        </is>
      </c>
      <c r="F22" t="inlineStr">
        <is>
          <t>EUR</t>
        </is>
      </c>
      <c r="G22" t="n">
        <v>118700</v>
      </c>
      <c r="H22" t="inlineStr">
        <is>
          <t>2027-03-24T23:00:00Z</t>
        </is>
      </c>
      <c r="J22" t="n">
        <v>97.913850042123</v>
      </c>
      <c r="K22" t="n">
        <v>98.3048</v>
      </c>
      <c r="L22" t="n">
        <v>1.1144</v>
      </c>
      <c r="M22" t="n">
        <v>116687.8</v>
      </c>
      <c r="O22" t="n">
        <v>0.399281592555875</v>
      </c>
      <c r="P22" t="n">
        <v>2.71504203368973</v>
      </c>
      <c r="Q22" t="n">
        <v>2.77956191723992</v>
      </c>
    </row>
    <row r="23">
      <c r="A23" t="inlineStr">
        <is>
          <t>0% United States Treasury Bills 25.03.2027 Senior</t>
        </is>
      </c>
      <c r="B23" t="inlineStr">
        <is>
          <t>US912797WL77</t>
        </is>
      </c>
      <c r="C23" t="inlineStr">
        <is>
          <t>Marchesi, Riccardo</t>
        </is>
      </c>
      <c r="D23" t="n">
        <v>1592866.001</v>
      </c>
      <c r="E23" t="inlineStr">
        <is>
          <t>USD</t>
        </is>
      </c>
      <c r="F23" t="inlineStr">
        <is>
          <t>EUR</t>
        </is>
      </c>
      <c r="G23" t="n">
        <v>41700</v>
      </c>
      <c r="H23" t="inlineStr">
        <is>
          <t>2027-03-24T23:00:00Z</t>
        </is>
      </c>
      <c r="J23" t="n">
        <v>97.9138369304556</v>
      </c>
      <c r="K23" t="n">
        <v>98.3048</v>
      </c>
      <c r="L23" t="n">
        <v>1.1144</v>
      </c>
      <c r="M23" t="n">
        <v>40993.1</v>
      </c>
      <c r="O23" t="n">
        <v>0.399289053386389</v>
      </c>
      <c r="P23" t="n">
        <v>2.71504748798977</v>
      </c>
      <c r="Q23" t="n">
        <v>2.87806865435603</v>
      </c>
    </row>
    <row r="24">
      <c r="A24" t="inlineStr">
        <is>
          <t>0% United States Treasury Bills 25.03.2027 Senior</t>
        </is>
      </c>
      <c r="B24" t="inlineStr">
        <is>
          <t>US912797WL77</t>
        </is>
      </c>
      <c r="C24" t="inlineStr">
        <is>
          <t>Saira Holding S.r.L.</t>
        </is>
      </c>
      <c r="D24" t="n">
        <v>1690341.001</v>
      </c>
      <c r="E24" t="inlineStr">
        <is>
          <t>USD</t>
        </is>
      </c>
      <c r="F24" t="inlineStr">
        <is>
          <t>EUR</t>
        </is>
      </c>
      <c r="G24" t="n">
        <v>14200</v>
      </c>
      <c r="H24" t="inlineStr">
        <is>
          <t>2027-03-24T23:00:00Z</t>
        </is>
      </c>
      <c r="J24" t="n">
        <v>97.9138732394366</v>
      </c>
      <c r="K24" t="n">
        <v>98.3048</v>
      </c>
      <c r="L24" t="n">
        <v>1.1144</v>
      </c>
      <c r="M24" t="n">
        <v>13959.28</v>
      </c>
      <c r="O24" t="n">
        <v>0.399244233758182</v>
      </c>
      <c r="P24" t="n">
        <v>2.71503416651017</v>
      </c>
      <c r="Q24" t="n">
        <v>7.29242764208141</v>
      </c>
    </row>
    <row r="25">
      <c r="A25" t="inlineStr">
        <is>
          <t>0% United States Treasury Bills 25.03.2027 Senior</t>
        </is>
      </c>
      <c r="B25" t="inlineStr">
        <is>
          <t>US912797WL77</t>
        </is>
      </c>
      <c r="C25" t="inlineStr">
        <is>
          <t>Minardi, Mario Paolo</t>
        </is>
      </c>
      <c r="D25" t="n">
        <v>1650579.001</v>
      </c>
      <c r="E25" t="inlineStr">
        <is>
          <t>USD</t>
        </is>
      </c>
      <c r="F25" t="inlineStr">
        <is>
          <t>EUR</t>
        </is>
      </c>
      <c r="G25" t="n">
        <v>18500</v>
      </c>
      <c r="H25" t="inlineStr">
        <is>
          <t>2027-03-24T23:00:00Z</t>
        </is>
      </c>
      <c r="J25" t="n">
        <v>97.91389189189189</v>
      </c>
      <c r="K25" t="n">
        <v>98.3048</v>
      </c>
      <c r="L25" t="n">
        <v>1.1144</v>
      </c>
      <c r="M25" t="n">
        <v>18186.39</v>
      </c>
      <c r="O25" t="n">
        <v>0.399247656655848</v>
      </c>
      <c r="P25" t="n">
        <v>2.71497313917589</v>
      </c>
      <c r="Q25" t="n">
        <v>2.89835728571661</v>
      </c>
    </row>
    <row r="26">
      <c r="A26" t="inlineStr">
        <is>
          <t>0% United States Treasury Bills 25.03.2027 Senior</t>
        </is>
      </c>
      <c r="B26" t="inlineStr">
        <is>
          <t>US912797WL77</t>
        </is>
      </c>
      <c r="C26" t="inlineStr">
        <is>
          <t>Cariboni, Elisa</t>
        </is>
      </c>
      <c r="D26" t="n">
        <v>1600379.001</v>
      </c>
      <c r="E26" t="inlineStr">
        <is>
          <t>USD</t>
        </is>
      </c>
      <c r="F26" t="inlineStr">
        <is>
          <t>EUR</t>
        </is>
      </c>
      <c r="G26" t="n">
        <v>41100</v>
      </c>
      <c r="H26" t="inlineStr">
        <is>
          <t>2027-03-24T23:00:00Z</t>
        </is>
      </c>
      <c r="J26" t="n">
        <v>97.9138442822384</v>
      </c>
      <c r="K26" t="n">
        <v>98.3048</v>
      </c>
      <c r="L26" t="n">
        <v>1.1144</v>
      </c>
      <c r="M26" t="n">
        <v>40403.27</v>
      </c>
      <c r="O26" t="n">
        <v>0.399278475863506</v>
      </c>
      <c r="P26" t="n">
        <v>2.71504699272351</v>
      </c>
      <c r="Q26" t="n">
        <v>2.82265509939004</v>
      </c>
    </row>
    <row r="27">
      <c r="A27" t="inlineStr">
        <is>
          <t>0% United States Treasury Bills 25.03.2027 Senior</t>
        </is>
      </c>
      <c r="B27" t="inlineStr">
        <is>
          <t>US912797WL77</t>
        </is>
      </c>
      <c r="C27" t="inlineStr">
        <is>
          <t>Hera Società Fiduciaria e di revisione S.p.A. -   05250</t>
        </is>
      </c>
      <c r="D27" t="n">
        <v>1696403.001</v>
      </c>
      <c r="E27" t="inlineStr">
        <is>
          <t>USD</t>
        </is>
      </c>
      <c r="F27" t="inlineStr">
        <is>
          <t>EUR</t>
        </is>
      </c>
      <c r="G27" t="n">
        <v>7200</v>
      </c>
      <c r="H27" t="inlineStr">
        <is>
          <t>2027-03-24T23:00:00Z</t>
        </is>
      </c>
      <c r="J27" t="n">
        <v>97.91388888888881</v>
      </c>
      <c r="K27" t="n">
        <v>98.3048</v>
      </c>
      <c r="L27" t="n">
        <v>1.1144</v>
      </c>
      <c r="M27" t="n">
        <v>7077.95</v>
      </c>
      <c r="O27" t="n">
        <v>0.399302107861215</v>
      </c>
      <c r="P27" t="n">
        <v>2.71509019572326</v>
      </c>
      <c r="Q27" t="n">
        <v>0.97125886716633</v>
      </c>
    </row>
    <row r="28">
      <c r="A28" t="inlineStr">
        <is>
          <t>0% United States Treasury Bills 25.03.2027 Senior</t>
        </is>
      </c>
      <c r="B28" t="inlineStr">
        <is>
          <t>US912797WL77</t>
        </is>
      </c>
      <c r="C28" t="inlineStr">
        <is>
          <t>Lettieri, Riccardo</t>
        </is>
      </c>
      <c r="D28" t="n">
        <v>1660765.001</v>
      </c>
      <c r="E28" t="inlineStr">
        <is>
          <t>USD</t>
        </is>
      </c>
      <c r="F28" t="inlineStr">
        <is>
          <t>EUR</t>
        </is>
      </c>
      <c r="G28" t="n">
        <v>17900</v>
      </c>
      <c r="H28" t="inlineStr">
        <is>
          <t>2027-03-24T23:00:00Z</t>
        </is>
      </c>
      <c r="J28" t="n">
        <v>97.9138547486033</v>
      </c>
      <c r="K28" t="n">
        <v>98.3048</v>
      </c>
      <c r="L28" t="n">
        <v>1.1144</v>
      </c>
      <c r="M28" t="n">
        <v>17596.56</v>
      </c>
      <c r="O28" t="n">
        <v>0.399279266120372</v>
      </c>
      <c r="P28" t="n">
        <v>2.71503456243681</v>
      </c>
      <c r="Q28" t="n">
        <v>1.90677255347131</v>
      </c>
    </row>
    <row r="29">
      <c r="A29" t="inlineStr">
        <is>
          <t>0% United States Treasury Bills 25.03.2027 Senior</t>
        </is>
      </c>
      <c r="B29" t="inlineStr">
        <is>
          <t>US912797WL77</t>
        </is>
      </c>
      <c r="C29" t="inlineStr">
        <is>
          <t>Alemagna, Tancredi Luigi</t>
        </is>
      </c>
      <c r="D29" t="n">
        <v>1619782.001</v>
      </c>
      <c r="E29" t="inlineStr">
        <is>
          <t>USD</t>
        </is>
      </c>
      <c r="F29" t="inlineStr">
        <is>
          <t>EUR</t>
        </is>
      </c>
      <c r="G29" t="n">
        <v>79400</v>
      </c>
      <c r="H29" t="inlineStr">
        <is>
          <t>2027-03-24T23:00:00Z</t>
        </is>
      </c>
      <c r="J29" t="n">
        <v>97.9138664987405</v>
      </c>
      <c r="K29" t="n">
        <v>98.3048</v>
      </c>
      <c r="L29" t="n">
        <v>1.1144</v>
      </c>
      <c r="M29" t="n">
        <v>78054.00999999999</v>
      </c>
      <c r="O29" t="n">
        <v>0.399261109691201</v>
      </c>
      <c r="P29" t="n">
        <v>2.7150407576555</v>
      </c>
      <c r="Q29" t="n">
        <v>2.67980025464463</v>
      </c>
    </row>
    <row r="30">
      <c r="A30" t="inlineStr">
        <is>
          <t>0% United States Treasury Bills 25.03.2027 Senior</t>
        </is>
      </c>
      <c r="B30" t="inlineStr">
        <is>
          <t>US912797WL77</t>
        </is>
      </c>
      <c r="C30" t="inlineStr">
        <is>
          <t>Simon Fiduciaria S.p.A. - POS. FID. 6297</t>
        </is>
      </c>
      <c r="D30" t="n">
        <v>1660666.003</v>
      </c>
      <c r="E30" t="inlineStr">
        <is>
          <t>USD</t>
        </is>
      </c>
      <c r="F30" t="inlineStr">
        <is>
          <t>EUR</t>
        </is>
      </c>
      <c r="G30" t="n">
        <v>98100</v>
      </c>
      <c r="H30" t="inlineStr">
        <is>
          <t>2027-03-24T23:00:00Z</t>
        </is>
      </c>
      <c r="J30" t="n">
        <v>97.9138634046891</v>
      </c>
      <c r="K30" t="n">
        <v>98.3048</v>
      </c>
      <c r="L30" t="n">
        <v>1.1144</v>
      </c>
      <c r="M30" t="n">
        <v>96437.00999999999</v>
      </c>
      <c r="O30" t="n">
        <v>0.399267075119594</v>
      </c>
      <c r="P30" t="n">
        <v>2.71503589470885</v>
      </c>
      <c r="Q30" t="n">
        <v>3.23721117413914</v>
      </c>
    </row>
    <row r="31">
      <c r="A31" t="inlineStr">
        <is>
          <t>0% United States Treasury Bills 25.03.2027 Senior</t>
        </is>
      </c>
      <c r="B31" t="inlineStr">
        <is>
          <t>US912797WL77</t>
        </is>
      </c>
      <c r="C31" t="inlineStr">
        <is>
          <t>Fariniundici S.p.A.</t>
        </is>
      </c>
      <c r="D31" t="n">
        <v>1644446.001</v>
      </c>
      <c r="E31" t="inlineStr">
        <is>
          <t>USD</t>
        </is>
      </c>
      <c r="F31" t="inlineStr">
        <is>
          <t>EUR</t>
        </is>
      </c>
      <c r="G31" t="n">
        <v>210100</v>
      </c>
      <c r="H31" t="inlineStr">
        <is>
          <t>2027-03-24T23:00:00Z</t>
        </is>
      </c>
      <c r="J31" t="n">
        <v>97.9138600666349</v>
      </c>
      <c r="K31" t="n">
        <v>98.3048</v>
      </c>
      <c r="L31" t="n">
        <v>1.1144</v>
      </c>
      <c r="M31" t="n">
        <v>206538.38</v>
      </c>
      <c r="O31" t="n">
        <v>0.399266915299473</v>
      </c>
      <c r="P31" t="n">
        <v>2.71504440258021</v>
      </c>
      <c r="Q31" t="n">
        <v>1.70196074929406</v>
      </c>
    </row>
    <row r="32">
      <c r="A32" t="inlineStr">
        <is>
          <t>0% United States Treasury Bills 25.03.2027 Senior</t>
        </is>
      </c>
      <c r="B32" t="inlineStr">
        <is>
          <t>US912797WL77</t>
        </is>
      </c>
      <c r="C32" t="inlineStr">
        <is>
          <t>Bertini, Marco</t>
        </is>
      </c>
      <c r="D32" t="n">
        <v>112029.001</v>
      </c>
      <c r="E32" t="inlineStr">
        <is>
          <t>USD</t>
        </is>
      </c>
      <c r="F32" t="inlineStr">
        <is>
          <t>USD</t>
        </is>
      </c>
      <c r="G32" t="n">
        <v>14600</v>
      </c>
      <c r="H32" t="inlineStr">
        <is>
          <t>2027-03-24T23:00:00Z</t>
        </is>
      </c>
      <c r="J32" t="n">
        <v>97.913904109589</v>
      </c>
      <c r="K32" t="n">
        <v>98.3048</v>
      </c>
      <c r="L32" t="n">
        <v>1</v>
      </c>
      <c r="M32" t="n">
        <v>14352.5</v>
      </c>
      <c r="O32" t="n">
        <v>0.399218491503928</v>
      </c>
      <c r="P32" t="n">
        <v>0.399218491503928</v>
      </c>
      <c r="Q32" t="n">
        <v>0.92853831339285</v>
      </c>
    </row>
    <row r="33">
      <c r="A33" t="inlineStr">
        <is>
          <t>0% United States Treasury Bills 25.03.2027 Senior</t>
        </is>
      </c>
      <c r="B33" t="inlineStr">
        <is>
          <t>US912797WL77</t>
        </is>
      </c>
      <c r="C33" t="inlineStr">
        <is>
          <t>Ancona, Giselda</t>
        </is>
      </c>
      <c r="D33" t="n">
        <v>1648638.001</v>
      </c>
      <c r="E33" t="inlineStr">
        <is>
          <t>USD</t>
        </is>
      </c>
      <c r="F33" t="inlineStr">
        <is>
          <t>EUR</t>
        </is>
      </c>
      <c r="G33" t="n">
        <v>32300</v>
      </c>
      <c r="H33" t="inlineStr">
        <is>
          <t>2027-03-24T23:00:00Z</t>
        </is>
      </c>
      <c r="J33" t="n">
        <v>97.9138390092879</v>
      </c>
      <c r="K33" t="n">
        <v>98.3048</v>
      </c>
      <c r="L33" t="n">
        <v>1.1144</v>
      </c>
      <c r="M33" t="n">
        <v>31752.45</v>
      </c>
      <c r="O33" t="n">
        <v>0.399289575690006</v>
      </c>
      <c r="P33" t="n">
        <v>2.71506034368701</v>
      </c>
      <c r="Q33" t="n">
        <v>2.93678762421926</v>
      </c>
    </row>
    <row r="34">
      <c r="A34" t="inlineStr">
        <is>
          <t>0% United States Treasury Bills 25.03.2027 Senior</t>
        </is>
      </c>
      <c r="B34" t="inlineStr">
        <is>
          <t>US912797WL77</t>
        </is>
      </c>
      <c r="C34" t="inlineStr">
        <is>
          <t>Virlinzi, Francesco</t>
        </is>
      </c>
      <c r="D34" t="n">
        <v>1648903.001</v>
      </c>
      <c r="E34" t="inlineStr">
        <is>
          <t>USD</t>
        </is>
      </c>
      <c r="F34" t="inlineStr">
        <is>
          <t>EUR</t>
        </is>
      </c>
      <c r="G34" t="n">
        <v>179800</v>
      </c>
      <c r="H34" t="inlineStr">
        <is>
          <t>2027-03-24T23:00:00Z</t>
        </is>
      </c>
      <c r="J34" t="n">
        <v>97.91386540600659</v>
      </c>
      <c r="K34" t="n">
        <v>98.3048</v>
      </c>
      <c r="L34" t="n">
        <v>1.1144</v>
      </c>
      <c r="M34" t="n">
        <v>176752.03</v>
      </c>
      <c r="O34" t="n">
        <v>0.399263546488414</v>
      </c>
      <c r="P34" t="n">
        <v>2.71504656115063</v>
      </c>
      <c r="Q34" t="n">
        <v>1.7113199315123</v>
      </c>
    </row>
    <row r="35">
      <c r="A35" t="inlineStr">
        <is>
          <t>0% United States Treasury Bills 25.03.2027 Senior</t>
        </is>
      </c>
      <c r="B35" t="inlineStr">
        <is>
          <t>US912797WL77</t>
        </is>
      </c>
      <c r="C35" t="inlineStr">
        <is>
          <t>Malerba, Maria Clara</t>
        </is>
      </c>
      <c r="D35" t="n">
        <v>1632673.001</v>
      </c>
      <c r="E35" t="inlineStr">
        <is>
          <t>USD</t>
        </is>
      </c>
      <c r="F35" t="inlineStr">
        <is>
          <t>EUR</t>
        </is>
      </c>
      <c r="G35" t="n">
        <v>102600</v>
      </c>
      <c r="H35" t="inlineStr">
        <is>
          <t>2027-03-24T23:00:00Z</t>
        </is>
      </c>
      <c r="J35" t="n">
        <v>97.9138596491228</v>
      </c>
      <c r="K35" t="n">
        <v>98.3048</v>
      </c>
      <c r="L35" t="n">
        <v>1.1144</v>
      </c>
      <c r="M35" t="n">
        <v>100860.72</v>
      </c>
      <c r="O35" t="n">
        <v>0.39926489867272</v>
      </c>
      <c r="P35" t="n">
        <v>2.71503267870006</v>
      </c>
      <c r="Q35" t="n">
        <v>1.72048676172673</v>
      </c>
    </row>
    <row r="36">
      <c r="A36" t="inlineStr">
        <is>
          <t>0% United States Treasury Bills 25.03.2027 Senior</t>
        </is>
      </c>
      <c r="B36" t="inlineStr">
        <is>
          <t>US912797WL77</t>
        </is>
      </c>
      <c r="C36" t="inlineStr">
        <is>
          <t>Galli, Federico</t>
        </is>
      </c>
      <c r="D36" t="n">
        <v>1621661.001</v>
      </c>
      <c r="E36" t="inlineStr">
        <is>
          <t>USD</t>
        </is>
      </c>
      <c r="F36" t="inlineStr">
        <is>
          <t>EUR</t>
        </is>
      </c>
      <c r="G36" t="n">
        <v>18600</v>
      </c>
      <c r="H36" t="inlineStr">
        <is>
          <t>2027-03-24T23:00:00Z</t>
        </is>
      </c>
      <c r="J36" t="n">
        <v>97.9138709677419</v>
      </c>
      <c r="K36" t="n">
        <v>98.3048</v>
      </c>
      <c r="L36" t="n">
        <v>1.1144</v>
      </c>
      <c r="M36" t="n">
        <v>18284.69</v>
      </c>
      <c r="O36" t="n">
        <v>0.399242696291122</v>
      </c>
      <c r="P36" t="n">
        <v>2.71502730803615</v>
      </c>
      <c r="Q36" t="n">
        <v>2.98295477788195</v>
      </c>
    </row>
    <row r="37">
      <c r="A37" t="inlineStr">
        <is>
          <t>0% United States Treasury Bills 25.03.2027 Senior</t>
        </is>
      </c>
      <c r="B37" t="inlineStr">
        <is>
          <t>US912797WL77</t>
        </is>
      </c>
      <c r="C37" t="inlineStr">
        <is>
          <t>BISVALLES ASSETS INC.</t>
        </is>
      </c>
      <c r="D37" t="n">
        <v>1649314.001</v>
      </c>
      <c r="E37" t="inlineStr">
        <is>
          <t>USD</t>
        </is>
      </c>
      <c r="F37" t="inlineStr">
        <is>
          <t>EUR</t>
        </is>
      </c>
      <c r="G37" t="n">
        <v>190700</v>
      </c>
      <c r="H37" t="inlineStr">
        <is>
          <t>2027-03-24T23:00:00Z</t>
        </is>
      </c>
      <c r="J37" t="n">
        <v>97.9138594651284</v>
      </c>
      <c r="K37" t="n">
        <v>98.3048</v>
      </c>
      <c r="L37" t="n">
        <v>1.1144</v>
      </c>
      <c r="M37" t="n">
        <v>187467.25</v>
      </c>
      <c r="O37" t="n">
        <v>0.399267937373973</v>
      </c>
      <c r="P37" t="n">
        <v>2.71504800528157</v>
      </c>
      <c r="Q37" t="n">
        <v>1.73671468229558</v>
      </c>
    </row>
    <row r="38">
      <c r="A38" t="inlineStr">
        <is>
          <t>0% United States Treasury Bills 25.03.2027 Senior</t>
        </is>
      </c>
      <c r="B38" t="inlineStr">
        <is>
          <t>US912797WL77</t>
        </is>
      </c>
      <c r="C38" t="inlineStr">
        <is>
          <t>Laruffa, Serena</t>
        </is>
      </c>
      <c r="D38" t="n">
        <v>1596193.001</v>
      </c>
      <c r="E38" t="inlineStr">
        <is>
          <t>USD</t>
        </is>
      </c>
      <c r="F38" t="inlineStr">
        <is>
          <t>EUR</t>
        </is>
      </c>
      <c r="G38" t="n">
        <v>24800</v>
      </c>
      <c r="H38" t="inlineStr">
        <is>
          <t>2027-03-24T23:00:00Z</t>
        </is>
      </c>
      <c r="J38" t="n">
        <v>97.9138709677419</v>
      </c>
      <c r="K38" t="n">
        <v>98.3048</v>
      </c>
      <c r="L38" t="n">
        <v>1.1144</v>
      </c>
      <c r="M38" t="n">
        <v>24379.59</v>
      </c>
      <c r="O38" t="n">
        <v>0.399256423519024</v>
      </c>
      <c r="P38" t="n">
        <v>2.71507426133076</v>
      </c>
      <c r="Q38" t="n">
        <v>0.718277386168773</v>
      </c>
    </row>
    <row r="39">
      <c r="A39" t="inlineStr">
        <is>
          <t>0% United States Treasury Bills 25.03.2027 Senior</t>
        </is>
      </c>
      <c r="B39" t="inlineStr">
        <is>
          <t>US912797WL77</t>
        </is>
      </c>
      <c r="C39" t="inlineStr">
        <is>
          <t>Hera Società Fiduciaria e di revisione S.p.A. - - 05361</t>
        </is>
      </c>
      <c r="D39" t="n">
        <v>1706128.001</v>
      </c>
      <c r="E39" t="inlineStr">
        <is>
          <t>USD</t>
        </is>
      </c>
      <c r="F39" t="inlineStr">
        <is>
          <t>EUR</t>
        </is>
      </c>
      <c r="G39" t="n">
        <v>20900</v>
      </c>
      <c r="H39" t="inlineStr">
        <is>
          <t>2027-03-24T23:00:00Z</t>
        </is>
      </c>
      <c r="J39" t="n">
        <v>97.91387559808609</v>
      </c>
      <c r="K39" t="n">
        <v>98.3048</v>
      </c>
      <c r="L39" t="n">
        <v>1.1144</v>
      </c>
      <c r="M39" t="n">
        <v>20545.7</v>
      </c>
      <c r="O39" t="n">
        <v>0.399237685691946</v>
      </c>
      <c r="P39" t="n">
        <v>2.71504280018631</v>
      </c>
      <c r="Q39" t="n">
        <v>1.82065942312867</v>
      </c>
    </row>
    <row r="40">
      <c r="A40" t="inlineStr">
        <is>
          <t>0% United States Treasury Bills 25.03.2027 Senior</t>
        </is>
      </c>
      <c r="B40" t="inlineStr">
        <is>
          <t>US912797WL77</t>
        </is>
      </c>
      <c r="C40" t="inlineStr">
        <is>
          <t>Lettieri, Umberto</t>
        </is>
      </c>
      <c r="D40" t="n">
        <v>1710712.001</v>
      </c>
      <c r="E40" t="inlineStr">
        <is>
          <t>USD</t>
        </is>
      </c>
      <c r="F40" t="inlineStr">
        <is>
          <t>USD</t>
        </is>
      </c>
      <c r="G40" t="n">
        <v>38300</v>
      </c>
      <c r="H40" t="inlineStr">
        <is>
          <t>2027-03-24T23:00:00Z</t>
        </is>
      </c>
      <c r="J40" t="n">
        <v>97.913864229765</v>
      </c>
      <c r="K40" t="n">
        <v>98.3048</v>
      </c>
      <c r="L40" t="n">
        <v>1</v>
      </c>
      <c r="M40" t="n">
        <v>37650.74</v>
      </c>
      <c r="O40" t="n">
        <v>0.399269246348298</v>
      </c>
      <c r="P40" t="n">
        <v>0.399269246348298</v>
      </c>
      <c r="Q40" t="n">
        <v>2.61314758718909</v>
      </c>
    </row>
    <row r="41">
      <c r="A41" t="inlineStr">
        <is>
          <t>2.85% Italy Treasury Bonds 01.02.2031 Senior</t>
        </is>
      </c>
      <c r="B41" t="inlineStr">
        <is>
          <t>IT0005671273</t>
        </is>
      </c>
      <c r="C41" t="inlineStr">
        <is>
          <t>Petrassi, Raffaele</t>
        </is>
      </c>
      <c r="D41" t="n">
        <v>1656189.001</v>
      </c>
      <c r="E41" t="inlineStr">
        <is>
          <t>EUR</t>
        </is>
      </c>
      <c r="F41" t="inlineStr">
        <is>
          <t>EUR</t>
        </is>
      </c>
      <c r="G41" t="n">
        <v>9000</v>
      </c>
      <c r="H41" t="inlineStr">
        <is>
          <t>2031-01-31T23:00:00Z</t>
        </is>
      </c>
      <c r="I41" t="n">
        <v>0.039569656</v>
      </c>
      <c r="J41" t="n">
        <v>99.0524444444444</v>
      </c>
      <c r="K41" t="n">
        <v>95.97</v>
      </c>
      <c r="L41" t="n">
        <v>1</v>
      </c>
      <c r="M41" t="n">
        <v>8698.639999999999</v>
      </c>
      <c r="N41" t="n">
        <v>61.34</v>
      </c>
      <c r="O41" t="n">
        <v>-3.11193172640307</v>
      </c>
      <c r="P41" t="n">
        <v>-3.11193172640307</v>
      </c>
      <c r="Q41" t="n">
        <v>2.76516587295058</v>
      </c>
    </row>
    <row r="42">
      <c r="A42" t="inlineStr">
        <is>
          <t>2.85% Italy Treasury Bonds 01.02.2031 Senior</t>
        </is>
      </c>
      <c r="B42" t="inlineStr">
        <is>
          <t>IT0005671273</t>
        </is>
      </c>
      <c r="C42" t="inlineStr">
        <is>
          <t>Laruffa, Sergio</t>
        </is>
      </c>
      <c r="D42" t="n">
        <v>1591822.001</v>
      </c>
      <c r="E42" t="inlineStr">
        <is>
          <t>EUR</t>
        </is>
      </c>
      <c r="F42" t="inlineStr">
        <is>
          <t>USD</t>
        </is>
      </c>
      <c r="G42" t="n">
        <v>50000</v>
      </c>
      <c r="H42" t="inlineStr">
        <is>
          <t>2031-01-31T23:00:00Z</t>
        </is>
      </c>
      <c r="I42" t="n">
        <v>0.039569656</v>
      </c>
      <c r="J42" t="n">
        <v>99.05248</v>
      </c>
      <c r="K42" t="n">
        <v>95.97</v>
      </c>
      <c r="L42" t="n">
        <v>1.1144</v>
      </c>
      <c r="M42" t="n">
        <v>48325.76</v>
      </c>
      <c r="N42" t="n">
        <v>340.76</v>
      </c>
      <c r="O42" t="n">
        <v>-3.11196650502844</v>
      </c>
      <c r="P42" t="n">
        <v>-6.74456697735761</v>
      </c>
      <c r="Q42" t="n">
        <v>1.09953515008695</v>
      </c>
    </row>
    <row r="43">
      <c r="A43" t="inlineStr">
        <is>
          <t>2.85% Italy Treasury Bonds 01.02.2031 Senior</t>
        </is>
      </c>
      <c r="B43" t="inlineStr">
        <is>
          <t>IT0005671273</t>
        </is>
      </c>
      <c r="C43" t="inlineStr">
        <is>
          <t>Bucchioni, Fabio</t>
        </is>
      </c>
      <c r="D43" t="n">
        <v>1592092.001</v>
      </c>
      <c r="E43" t="inlineStr">
        <is>
          <t>EUR</t>
        </is>
      </c>
      <c r="F43" t="inlineStr">
        <is>
          <t>EUR</t>
        </is>
      </c>
      <c r="G43" t="n">
        <v>15000</v>
      </c>
      <c r="H43" t="inlineStr">
        <is>
          <t>2031-01-31T23:00:00Z</t>
        </is>
      </c>
      <c r="I43" t="n">
        <v>0.039569656</v>
      </c>
      <c r="J43" t="n">
        <v>99.0604666666666</v>
      </c>
      <c r="K43" t="n">
        <v>95.97</v>
      </c>
      <c r="L43" t="n">
        <v>1</v>
      </c>
      <c r="M43" t="n">
        <v>14497.73</v>
      </c>
      <c r="N43" t="n">
        <v>102.23</v>
      </c>
      <c r="O43" t="n">
        <v>-3.11977802110091</v>
      </c>
      <c r="P43" t="n">
        <v>-3.11977802110091</v>
      </c>
      <c r="Q43" t="n">
        <v>2.94115695925123</v>
      </c>
    </row>
    <row r="44">
      <c r="A44" t="inlineStr">
        <is>
          <t>2.85% Italy Treasury Bonds 01.02.2031 Senior</t>
        </is>
      </c>
      <c r="B44" t="inlineStr">
        <is>
          <t>IT0005671273</t>
        </is>
      </c>
      <c r="C44" t="inlineStr">
        <is>
          <t>Alemagna, Alberto Pietro</t>
        </is>
      </c>
      <c r="D44" t="n">
        <v>1627998.001</v>
      </c>
      <c r="E44" t="inlineStr">
        <is>
          <t>EUR</t>
        </is>
      </c>
      <c r="F44" t="inlineStr">
        <is>
          <t>EUR</t>
        </is>
      </c>
      <c r="G44" t="n">
        <v>85000</v>
      </c>
      <c r="H44" t="inlineStr">
        <is>
          <t>2031-01-31T23:00:00Z</t>
        </is>
      </c>
      <c r="I44" t="n">
        <v>0.039569656</v>
      </c>
      <c r="J44" t="n">
        <v>99.055494117647</v>
      </c>
      <c r="K44" t="n">
        <v>95.97</v>
      </c>
      <c r="L44" t="n">
        <v>1</v>
      </c>
      <c r="M44" t="n">
        <v>82153.78999999999</v>
      </c>
      <c r="N44" t="n">
        <v>579.29</v>
      </c>
      <c r="O44" t="n">
        <v>-3.11491466993486</v>
      </c>
      <c r="P44" t="n">
        <v>-3.11491466993486</v>
      </c>
      <c r="Q44" t="n">
        <v>2.90753052153053</v>
      </c>
    </row>
    <row r="45">
      <c r="A45" t="inlineStr">
        <is>
          <t>2.85% Italy Treasury Bonds 01.02.2031 Senior</t>
        </is>
      </c>
      <c r="B45" t="inlineStr">
        <is>
          <t>IT0005671273</t>
        </is>
      </c>
      <c r="C45" t="inlineStr">
        <is>
          <t>Simon Fiduciaria S.p.A. - POS. FID. 6297</t>
        </is>
      </c>
      <c r="D45" t="n">
        <v>1660666.001</v>
      </c>
      <c r="E45" t="inlineStr">
        <is>
          <t>EUR</t>
        </is>
      </c>
      <c r="F45" t="inlineStr">
        <is>
          <t>EUR</t>
        </is>
      </c>
      <c r="G45" t="n">
        <v>111000</v>
      </c>
      <c r="H45" t="inlineStr">
        <is>
          <t>2031-01-31T23:00:00Z</t>
        </is>
      </c>
      <c r="I45" t="n">
        <v>0.039569656</v>
      </c>
      <c r="J45" t="n">
        <v>99.063</v>
      </c>
      <c r="K45" t="n">
        <v>95.97</v>
      </c>
      <c r="L45" t="n">
        <v>1</v>
      </c>
      <c r="M45" t="n">
        <v>107283.19</v>
      </c>
      <c r="N45" t="n">
        <v>756.49</v>
      </c>
      <c r="O45" t="n">
        <v>-3.12225553435692</v>
      </c>
      <c r="P45" t="n">
        <v>-3.12225553435692</v>
      </c>
      <c r="Q45" t="n">
        <v>2.8480062759612</v>
      </c>
    </row>
    <row r="46">
      <c r="A46" t="inlineStr">
        <is>
          <t>2.85% Italy Treasury Bonds 01.02.2031 Senior</t>
        </is>
      </c>
      <c r="B46" t="inlineStr">
        <is>
          <t>IT0005671273</t>
        </is>
      </c>
      <c r="C46" t="inlineStr">
        <is>
          <t>Marchesi, Riccardo</t>
        </is>
      </c>
      <c r="D46" t="n">
        <v>1592866.001</v>
      </c>
      <c r="E46" t="inlineStr">
        <is>
          <t>EUR</t>
        </is>
      </c>
      <c r="F46" t="inlineStr">
        <is>
          <t>EUR</t>
        </is>
      </c>
      <c r="G46" t="n">
        <v>38000</v>
      </c>
      <c r="H46" t="inlineStr">
        <is>
          <t>2031-01-31T23:00:00Z</t>
        </is>
      </c>
      <c r="I46" t="n">
        <v>0.039569656</v>
      </c>
      <c r="J46" t="n">
        <v>99.05549999999999</v>
      </c>
      <c r="K46" t="n">
        <v>95.97</v>
      </c>
      <c r="L46" t="n">
        <v>1</v>
      </c>
      <c r="M46" t="n">
        <v>36727.58</v>
      </c>
      <c r="N46" t="n">
        <v>258.98</v>
      </c>
      <c r="O46" t="n">
        <v>-3.114920423399</v>
      </c>
      <c r="P46" t="n">
        <v>-3.114920423399</v>
      </c>
      <c r="Q46" t="n">
        <v>2.87369718578201</v>
      </c>
    </row>
    <row r="47">
      <c r="A47" t="inlineStr">
        <is>
          <t>2.85% Italy Treasury Bonds 01.02.2031 Senior</t>
        </is>
      </c>
      <c r="B47" t="inlineStr">
        <is>
          <t>IT0005671273</t>
        </is>
      </c>
      <c r="C47" t="inlineStr">
        <is>
          <t>Saira Holding S.r.L.</t>
        </is>
      </c>
      <c r="D47" t="n">
        <v>1690341.001</v>
      </c>
      <c r="E47" t="inlineStr">
        <is>
          <t>EUR</t>
        </is>
      </c>
      <c r="F47" t="inlineStr">
        <is>
          <t>EUR</t>
        </is>
      </c>
      <c r="G47" t="n">
        <v>5000</v>
      </c>
      <c r="H47" t="inlineStr">
        <is>
          <t>2031-01-31T23:00:00Z</t>
        </is>
      </c>
      <c r="I47" t="n">
        <v>0.039569656</v>
      </c>
      <c r="J47" t="n">
        <v>99.05500000000001</v>
      </c>
      <c r="K47" t="n">
        <v>95.97</v>
      </c>
      <c r="L47" t="n">
        <v>1</v>
      </c>
      <c r="M47" t="n">
        <v>4832.58</v>
      </c>
      <c r="N47" t="n">
        <v>34.08</v>
      </c>
      <c r="O47" t="n">
        <v>-3.114431376508</v>
      </c>
      <c r="P47" t="n">
        <v>-3.114431376508</v>
      </c>
      <c r="Q47" t="n">
        <v>2.81349664249011</v>
      </c>
    </row>
    <row r="48">
      <c r="A48" t="inlineStr">
        <is>
          <t>2.85% Italy Treasury Bonds 01.02.2031 Senior</t>
        </is>
      </c>
      <c r="B48" t="inlineStr">
        <is>
          <t>IT0005671273</t>
        </is>
      </c>
      <c r="C48" t="inlineStr">
        <is>
          <t>Minardi, Mario Paolo</t>
        </is>
      </c>
      <c r="D48" t="n">
        <v>1650579.001</v>
      </c>
      <c r="E48" t="inlineStr">
        <is>
          <t>EUR</t>
        </is>
      </c>
      <c r="F48" t="inlineStr">
        <is>
          <t>EUR</t>
        </is>
      </c>
      <c r="G48" t="n">
        <v>17000</v>
      </c>
      <c r="H48" t="inlineStr">
        <is>
          <t>2031-01-31T23:00:00Z</t>
        </is>
      </c>
      <c r="I48" t="n">
        <v>0.039569656</v>
      </c>
      <c r="J48" t="n">
        <v>99.05247058823529</v>
      </c>
      <c r="K48" t="n">
        <v>95.97</v>
      </c>
      <c r="L48" t="n">
        <v>1</v>
      </c>
      <c r="M48" t="n">
        <v>16430.76</v>
      </c>
      <c r="N48" t="n">
        <v>115.86</v>
      </c>
      <c r="O48" t="n">
        <v>-3.11195729892415</v>
      </c>
      <c r="P48" t="n">
        <v>-3.11195729892415</v>
      </c>
      <c r="Q48" t="n">
        <v>2.91824411956162</v>
      </c>
    </row>
    <row r="49">
      <c r="A49" t="inlineStr">
        <is>
          <t>2.85% Italy Treasury Bonds 01.02.2031 Senior</t>
        </is>
      </c>
      <c r="B49" t="inlineStr">
        <is>
          <t>IT0005671273</t>
        </is>
      </c>
      <c r="C49" t="inlineStr">
        <is>
          <t>Cariboni, Elisa</t>
        </is>
      </c>
      <c r="D49" t="n">
        <v>1600379.001</v>
      </c>
      <c r="E49" t="inlineStr">
        <is>
          <t>EUR</t>
        </is>
      </c>
      <c r="F49" t="inlineStr">
        <is>
          <t>EUR</t>
        </is>
      </c>
      <c r="G49" t="n">
        <v>38000</v>
      </c>
      <c r="H49" t="inlineStr">
        <is>
          <t>2031-01-31T23:00:00Z</t>
        </is>
      </c>
      <c r="I49" t="n">
        <v>0.039569656</v>
      </c>
      <c r="J49" t="n">
        <v>99.0605</v>
      </c>
      <c r="K49" t="n">
        <v>95.97</v>
      </c>
      <c r="L49" t="n">
        <v>1</v>
      </c>
      <c r="M49" t="n">
        <v>36727.58</v>
      </c>
      <c r="N49" t="n">
        <v>258.98</v>
      </c>
      <c r="O49" t="n">
        <v>-3.11981062078224</v>
      </c>
      <c r="P49" t="n">
        <v>-3.11981062078224</v>
      </c>
      <c r="Q49" t="n">
        <v>2.85951198951778</v>
      </c>
    </row>
    <row r="50">
      <c r="A50" t="inlineStr">
        <is>
          <t>2.85% Italy Treasury Bonds 01.02.2031 Senior</t>
        </is>
      </c>
      <c r="B50" t="inlineStr">
        <is>
          <t>IT0005671273</t>
        </is>
      </c>
      <c r="C50" t="inlineStr">
        <is>
          <t>Alemagna, Tancredi Luigi</t>
        </is>
      </c>
      <c r="D50" t="n">
        <v>1619782.001</v>
      </c>
      <c r="E50" t="inlineStr">
        <is>
          <t>EUR</t>
        </is>
      </c>
      <c r="F50" t="inlineStr">
        <is>
          <t>EUR</t>
        </is>
      </c>
      <c r="G50" t="n">
        <v>84000</v>
      </c>
      <c r="H50" t="inlineStr">
        <is>
          <t>2031-01-31T23:00:00Z</t>
        </is>
      </c>
      <c r="I50" t="n">
        <v>0.039569656</v>
      </c>
      <c r="J50" t="n">
        <v>99.0604880952381</v>
      </c>
      <c r="K50" t="n">
        <v>95.97</v>
      </c>
      <c r="L50" t="n">
        <v>1</v>
      </c>
      <c r="M50" t="n">
        <v>81187.28</v>
      </c>
      <c r="N50" t="n">
        <v>572.48</v>
      </c>
      <c r="O50" t="n">
        <v>-3.11979897804143</v>
      </c>
      <c r="P50" t="n">
        <v>-3.11979897804143</v>
      </c>
      <c r="Q50" t="n">
        <v>3.10637283234085</v>
      </c>
    </row>
    <row r="51">
      <c r="A51" t="inlineStr">
        <is>
          <t>2.85% Italy Treasury Bonds 01.02.2031 Senior</t>
        </is>
      </c>
      <c r="B51" t="inlineStr">
        <is>
          <t>IT0005671273</t>
        </is>
      </c>
      <c r="C51" t="inlineStr">
        <is>
          <t>Simon Fiduciaria S.p.A. - POS. FID. 6297</t>
        </is>
      </c>
      <c r="D51" t="n">
        <v>1660666.003</v>
      </c>
      <c r="E51" t="inlineStr">
        <is>
          <t>EUR</t>
        </is>
      </c>
      <c r="F51" t="inlineStr">
        <is>
          <t>EUR</t>
        </is>
      </c>
      <c r="G51" t="n">
        <v>81000</v>
      </c>
      <c r="H51" t="inlineStr">
        <is>
          <t>2031-01-31T23:00:00Z</t>
        </is>
      </c>
      <c r="I51" t="n">
        <v>0.039569656</v>
      </c>
      <c r="J51" t="n">
        <v>99.063</v>
      </c>
      <c r="K51" t="n">
        <v>95.97</v>
      </c>
      <c r="L51" t="n">
        <v>1</v>
      </c>
      <c r="M51" t="n">
        <v>78287.73</v>
      </c>
      <c r="N51" t="n">
        <v>552.03</v>
      </c>
      <c r="O51" t="n">
        <v>-3.12225553435692</v>
      </c>
      <c r="P51" t="n">
        <v>-3.12225553435692</v>
      </c>
      <c r="Q51" t="n">
        <v>2.92873014535822</v>
      </c>
    </row>
    <row r="52">
      <c r="A52" t="inlineStr">
        <is>
          <t>2.85% Italy Treasury Bonds 01.02.2031 Senior</t>
        </is>
      </c>
      <c r="B52" t="inlineStr">
        <is>
          <t>IT0005671273</t>
        </is>
      </c>
      <c r="C52" t="inlineStr">
        <is>
          <t>Fariniundici S.p.A.</t>
        </is>
      </c>
      <c r="D52" t="n">
        <v>1644446.001</v>
      </c>
      <c r="E52" t="inlineStr">
        <is>
          <t>EUR</t>
        </is>
      </c>
      <c r="F52" t="inlineStr">
        <is>
          <t>EUR</t>
        </is>
      </c>
      <c r="G52" t="n">
        <v>330000</v>
      </c>
      <c r="H52" t="inlineStr">
        <is>
          <t>2031-01-31T23:00:00Z</t>
        </is>
      </c>
      <c r="I52" t="n">
        <v>0.039569656</v>
      </c>
      <c r="J52" t="n">
        <v>99.063</v>
      </c>
      <c r="K52" t="n">
        <v>95.97</v>
      </c>
      <c r="L52" t="n">
        <v>1</v>
      </c>
      <c r="M52" t="n">
        <v>318950.02</v>
      </c>
      <c r="N52" t="n">
        <v>2249.02</v>
      </c>
      <c r="O52" t="n">
        <v>-3.12225553435692</v>
      </c>
      <c r="P52" t="n">
        <v>-3.12225553435692</v>
      </c>
      <c r="Q52" t="n">
        <v>2.92907016838178</v>
      </c>
    </row>
    <row r="53">
      <c r="A53" t="inlineStr">
        <is>
          <t>2.85% Italy Treasury Bonds 01.02.2031 Senior</t>
        </is>
      </c>
      <c r="B53" t="inlineStr">
        <is>
          <t>IT0005671273</t>
        </is>
      </c>
      <c r="C53" t="inlineStr">
        <is>
          <t>Bertini, Marco</t>
        </is>
      </c>
      <c r="D53" t="n">
        <v>112029.001</v>
      </c>
      <c r="E53" t="inlineStr">
        <is>
          <t>EUR</t>
        </is>
      </c>
      <c r="F53" t="inlineStr">
        <is>
          <t>USD</t>
        </is>
      </c>
      <c r="G53" t="n">
        <v>44000</v>
      </c>
      <c r="H53" t="inlineStr">
        <is>
          <t>2031-01-31T23:00:00Z</t>
        </is>
      </c>
      <c r="I53" t="n">
        <v>0.039569656</v>
      </c>
      <c r="J53" t="n">
        <v>99.05249999999999</v>
      </c>
      <c r="K53" t="n">
        <v>95.97</v>
      </c>
      <c r="L53" t="n">
        <v>1.1144</v>
      </c>
      <c r="M53" t="n">
        <v>42526.67</v>
      </c>
      <c r="N53" t="n">
        <v>299.87</v>
      </c>
      <c r="O53" t="n">
        <v>-3.11198606799424</v>
      </c>
      <c r="P53" t="n">
        <v>-6.74459316084239</v>
      </c>
      <c r="Q53" t="n">
        <v>3.0661405814317</v>
      </c>
    </row>
    <row r="54">
      <c r="A54" t="inlineStr">
        <is>
          <t>2.85% Italy Treasury Bonds 01.02.2031 Senior</t>
        </is>
      </c>
      <c r="B54" t="inlineStr">
        <is>
          <t>IT0005671273</t>
        </is>
      </c>
      <c r="C54" t="inlineStr">
        <is>
          <t>Ancona, Giselda</t>
        </is>
      </c>
      <c r="D54" t="n">
        <v>1648638.001</v>
      </c>
      <c r="E54" t="inlineStr">
        <is>
          <t>EUR</t>
        </is>
      </c>
      <c r="F54" t="inlineStr">
        <is>
          <t>EUR</t>
        </is>
      </c>
      <c r="G54" t="n">
        <v>30000</v>
      </c>
      <c r="H54" t="inlineStr">
        <is>
          <t>2031-01-31T23:00:00Z</t>
        </is>
      </c>
      <c r="I54" t="n">
        <v>0.039569656</v>
      </c>
      <c r="J54" t="n">
        <v>99.0575</v>
      </c>
      <c r="K54" t="n">
        <v>95.97</v>
      </c>
      <c r="L54" t="n">
        <v>1</v>
      </c>
      <c r="M54" t="n">
        <v>28995.46</v>
      </c>
      <c r="N54" t="n">
        <v>204.46</v>
      </c>
      <c r="O54" t="n">
        <v>-3.11687656159301</v>
      </c>
      <c r="P54" t="n">
        <v>-3.11687656159301</v>
      </c>
      <c r="Q54" t="n">
        <v>2.98870963913194</v>
      </c>
    </row>
    <row r="55">
      <c r="A55" t="inlineStr">
        <is>
          <t>2.85% Italy Treasury Bonds 01.02.2031 Senior</t>
        </is>
      </c>
      <c r="B55" t="inlineStr">
        <is>
          <t>IT0005671273</t>
        </is>
      </c>
      <c r="C55" t="inlineStr">
        <is>
          <t>Virlinzi, Francesco</t>
        </is>
      </c>
      <c r="D55" t="n">
        <v>1648903.001</v>
      </c>
      <c r="E55" t="inlineStr">
        <is>
          <t>EUR</t>
        </is>
      </c>
      <c r="F55" t="inlineStr">
        <is>
          <t>EUR</t>
        </is>
      </c>
      <c r="G55" t="n">
        <v>210000</v>
      </c>
      <c r="H55" t="inlineStr">
        <is>
          <t>2031-01-31T23:00:00Z</t>
        </is>
      </c>
      <c r="I55" t="n">
        <v>0.039569656</v>
      </c>
      <c r="J55" t="n">
        <v>99.05773809523809</v>
      </c>
      <c r="K55" t="n">
        <v>95.97</v>
      </c>
      <c r="L55" t="n">
        <v>1</v>
      </c>
      <c r="M55" t="n">
        <v>202968.2</v>
      </c>
      <c r="N55" t="n">
        <v>1431.2</v>
      </c>
      <c r="O55" t="n">
        <v>-3.11710942992602</v>
      </c>
      <c r="P55" t="n">
        <v>-3.11710942992602</v>
      </c>
      <c r="Q55" t="n">
        <v>2.19004570287291</v>
      </c>
    </row>
    <row r="56">
      <c r="A56" t="inlineStr">
        <is>
          <t>2.85% Italy Treasury Bonds 01.02.2031 Senior</t>
        </is>
      </c>
      <c r="B56" t="inlineStr">
        <is>
          <t>IT0005671273</t>
        </is>
      </c>
      <c r="C56" t="inlineStr">
        <is>
          <t>Malerba, Maria Clara</t>
        </is>
      </c>
      <c r="D56" t="n">
        <v>1632673.001</v>
      </c>
      <c r="E56" t="inlineStr">
        <is>
          <t>EUR</t>
        </is>
      </c>
      <c r="F56" t="inlineStr">
        <is>
          <t>EUR</t>
        </is>
      </c>
      <c r="G56" t="n">
        <v>90000</v>
      </c>
      <c r="H56" t="inlineStr">
        <is>
          <t>2031-01-31T23:00:00Z</t>
        </is>
      </c>
      <c r="I56" t="n">
        <v>0.039569656</v>
      </c>
      <c r="J56" t="n">
        <v>99.0524888888888</v>
      </c>
      <c r="K56" t="n">
        <v>95.97</v>
      </c>
      <c r="L56" t="n">
        <v>1</v>
      </c>
      <c r="M56" t="n">
        <v>86986.37</v>
      </c>
      <c r="N56" t="n">
        <v>613.37</v>
      </c>
      <c r="O56" t="n">
        <v>-3.11197519968088</v>
      </c>
      <c r="P56" t="n">
        <v>-3.11197519968088</v>
      </c>
      <c r="Q56" t="n">
        <v>1.6536319237028</v>
      </c>
    </row>
    <row r="57">
      <c r="A57" t="inlineStr">
        <is>
          <t>2.85% Italy Treasury Bonds 01.02.2031 Senior</t>
        </is>
      </c>
      <c r="B57" t="inlineStr">
        <is>
          <t>IT0005671273</t>
        </is>
      </c>
      <c r="C57" t="inlineStr">
        <is>
          <t>Galli, Federico</t>
        </is>
      </c>
      <c r="D57" t="n">
        <v>1621661.001</v>
      </c>
      <c r="E57" t="inlineStr">
        <is>
          <t>EUR</t>
        </is>
      </c>
      <c r="F57" t="inlineStr">
        <is>
          <t>EUR</t>
        </is>
      </c>
      <c r="G57" t="n">
        <v>16000</v>
      </c>
      <c r="H57" t="inlineStr">
        <is>
          <t>2031-01-31T23:00:00Z</t>
        </is>
      </c>
      <c r="I57" t="n">
        <v>0.039569656</v>
      </c>
      <c r="J57" t="n">
        <v>99.0575</v>
      </c>
      <c r="K57" t="n">
        <v>95.97</v>
      </c>
      <c r="L57" t="n">
        <v>1</v>
      </c>
      <c r="M57" t="n">
        <v>15464.24</v>
      </c>
      <c r="N57" t="n">
        <v>109.04</v>
      </c>
      <c r="O57" t="n">
        <v>-3.11687656159301</v>
      </c>
      <c r="P57" t="n">
        <v>-3.11687656159301</v>
      </c>
      <c r="Q57" t="n">
        <v>2.81155169100464</v>
      </c>
    </row>
    <row r="58">
      <c r="A58" t="inlineStr">
        <is>
          <t>2.85% Italy Treasury Bonds 01.02.2031 Senior</t>
        </is>
      </c>
      <c r="B58" t="inlineStr">
        <is>
          <t>IT0005671273</t>
        </is>
      </c>
      <c r="C58" t="inlineStr">
        <is>
          <t>BISVALLES ASSETS INC.</t>
        </is>
      </c>
      <c r="D58" t="n">
        <v>1649314.001</v>
      </c>
      <c r="E58" t="inlineStr">
        <is>
          <t>EUR</t>
        </is>
      </c>
      <c r="F58" t="inlineStr">
        <is>
          <t>EUR</t>
        </is>
      </c>
      <c r="G58" t="n">
        <v>100000</v>
      </c>
      <c r="H58" t="inlineStr">
        <is>
          <t>2031-01-31T23:00:00Z</t>
        </is>
      </c>
      <c r="I58" t="n">
        <v>0.039569656</v>
      </c>
      <c r="J58" t="n">
        <v>99.05249000000001</v>
      </c>
      <c r="K58" t="n">
        <v>95.97</v>
      </c>
      <c r="L58" t="n">
        <v>1</v>
      </c>
      <c r="M58" t="n">
        <v>96651.52</v>
      </c>
      <c r="N58" t="n">
        <v>681.52</v>
      </c>
      <c r="O58" t="n">
        <v>-3.11197628651233</v>
      </c>
      <c r="P58" t="n">
        <v>-3.11197628651233</v>
      </c>
      <c r="Q58" t="n">
        <v>0.997861164433238</v>
      </c>
    </row>
    <row r="59">
      <c r="A59" t="inlineStr">
        <is>
          <t>2.85% Italy Treasury Bonds 01.02.2031 Senior</t>
        </is>
      </c>
      <c r="B59" t="inlineStr">
        <is>
          <t>IT0005671273</t>
        </is>
      </c>
      <c r="C59" t="inlineStr">
        <is>
          <t>Laruffa, Serena</t>
        </is>
      </c>
      <c r="D59" t="n">
        <v>1596193.001</v>
      </c>
      <c r="E59" t="inlineStr">
        <is>
          <t>EUR</t>
        </is>
      </c>
      <c r="F59" t="inlineStr">
        <is>
          <t>EUR</t>
        </is>
      </c>
      <c r="G59" t="n">
        <v>102000</v>
      </c>
      <c r="H59" t="inlineStr">
        <is>
          <t>2031-01-31T23:00:00Z</t>
        </is>
      </c>
      <c r="I59" t="n">
        <v>0.039569656</v>
      </c>
      <c r="J59" t="n">
        <v>99.0594901960784</v>
      </c>
      <c r="K59" t="n">
        <v>95.97</v>
      </c>
      <c r="L59" t="n">
        <v>1</v>
      </c>
      <c r="M59" t="n">
        <v>98584.55</v>
      </c>
      <c r="N59" t="n">
        <v>695.15</v>
      </c>
      <c r="O59" t="n">
        <v>-3.11882303246573</v>
      </c>
      <c r="P59" t="n">
        <v>-3.11882303246573</v>
      </c>
      <c r="Q59" t="n">
        <v>3.23692725001609</v>
      </c>
    </row>
    <row r="60">
      <c r="A60" t="inlineStr">
        <is>
          <t>2.85% Italy Treasury Bonds 01.02.2031 Senior</t>
        </is>
      </c>
      <c r="B60" t="inlineStr">
        <is>
          <t>IT0005671273</t>
        </is>
      </c>
      <c r="C60" t="inlineStr">
        <is>
          <t>Hera Società Fiduciaria e di revisione S.p.A. - - 05361</t>
        </is>
      </c>
      <c r="D60" t="n">
        <v>1706128.001</v>
      </c>
      <c r="E60" t="inlineStr">
        <is>
          <t>EUR</t>
        </is>
      </c>
      <c r="F60" t="inlineStr">
        <is>
          <t>EUR</t>
        </is>
      </c>
      <c r="G60" t="n">
        <v>10000</v>
      </c>
      <c r="H60" t="inlineStr">
        <is>
          <t>2031-01-31T23:00:00Z</t>
        </is>
      </c>
      <c r="I60" t="n">
        <v>0.039569656</v>
      </c>
      <c r="J60" t="n">
        <v>99.062</v>
      </c>
      <c r="K60" t="n">
        <v>95.97</v>
      </c>
      <c r="L60" t="n">
        <v>1</v>
      </c>
      <c r="M60" t="n">
        <v>9665.15</v>
      </c>
      <c r="N60" t="n">
        <v>68.15000000000001</v>
      </c>
      <c r="O60" t="n">
        <v>-3.12127758373543</v>
      </c>
      <c r="P60" t="n">
        <v>-3.12127758373543</v>
      </c>
      <c r="Q60" t="n">
        <v>0.954497108264295</v>
      </c>
    </row>
    <row r="61">
      <c r="A61" t="inlineStr">
        <is>
          <t>2.85% Italy Treasury Bonds 01.02.2031 Senior</t>
        </is>
      </c>
      <c r="B61" t="inlineStr">
        <is>
          <t>IT0005671273</t>
        </is>
      </c>
      <c r="C61" t="inlineStr">
        <is>
          <t>Lettieri, Umberto</t>
        </is>
      </c>
      <c r="D61" t="n">
        <v>1710712.001</v>
      </c>
      <c r="E61" t="inlineStr">
        <is>
          <t>EUR</t>
        </is>
      </c>
      <c r="F61" t="inlineStr">
        <is>
          <t>USD</t>
        </is>
      </c>
      <c r="G61" t="n">
        <v>8000</v>
      </c>
      <c r="H61" t="inlineStr">
        <is>
          <t>2031-01-31T23:00:00Z</t>
        </is>
      </c>
      <c r="I61" t="n">
        <v>0.039569656</v>
      </c>
      <c r="J61" t="n">
        <v>98.912375</v>
      </c>
      <c r="K61" t="n">
        <v>95.97</v>
      </c>
      <c r="L61" t="n">
        <v>1.1144</v>
      </c>
      <c r="M61" t="n">
        <v>7732.12</v>
      </c>
      <c r="N61" t="n">
        <v>54.52</v>
      </c>
      <c r="O61" t="n">
        <v>-2.97472889514582</v>
      </c>
      <c r="P61" t="n">
        <v>-6.17364366587164</v>
      </c>
      <c r="Q61" t="n">
        <v>0.598063810213562</v>
      </c>
    </row>
    <row r="62">
      <c r="A62" t="inlineStr">
        <is>
          <t>2.85% Italy Treasury Bonds 01.02.2031 Senior</t>
        </is>
      </c>
      <c r="B62" t="inlineStr">
        <is>
          <t>IT0005671273</t>
        </is>
      </c>
      <c r="C62" t="inlineStr">
        <is>
          <t>Siciliano, Rosanna</t>
        </is>
      </c>
      <c r="D62" t="n">
        <v>1597944.001</v>
      </c>
      <c r="E62" t="inlineStr">
        <is>
          <t>EUR</t>
        </is>
      </c>
      <c r="F62" t="inlineStr">
        <is>
          <t>EUR</t>
        </is>
      </c>
      <c r="G62" t="n">
        <v>46000</v>
      </c>
      <c r="H62" t="inlineStr">
        <is>
          <t>2031-01-31T23:00:00Z</t>
        </is>
      </c>
      <c r="I62" t="n">
        <v>0.039569656</v>
      </c>
      <c r="J62" t="n">
        <v>99.0604782608695</v>
      </c>
      <c r="K62" t="n">
        <v>95.97</v>
      </c>
      <c r="L62" t="n">
        <v>1</v>
      </c>
      <c r="M62" t="n">
        <v>44459.7</v>
      </c>
      <c r="N62" t="n">
        <v>313.5</v>
      </c>
      <c r="O62" t="n">
        <v>-3.11978936012299</v>
      </c>
      <c r="P62" t="n">
        <v>-3.11978936012299</v>
      </c>
      <c r="Q62" t="n">
        <v>2.65460732002578</v>
      </c>
    </row>
    <row r="63">
      <c r="A63" t="inlineStr">
        <is>
          <t>3.6% Italy Treasury Bonds 01.10.2035 Reg-S Senior</t>
        </is>
      </c>
      <c r="B63" t="inlineStr">
        <is>
          <t>IT0005648149</t>
        </is>
      </c>
      <c r="C63" t="inlineStr">
        <is>
          <t>Petrassi, Raffaele</t>
        </is>
      </c>
      <c r="D63" t="n">
        <v>1656189.001</v>
      </c>
      <c r="E63" t="inlineStr">
        <is>
          <t>EUR</t>
        </is>
      </c>
      <c r="F63" t="inlineStr">
        <is>
          <t>EUR</t>
        </is>
      </c>
      <c r="G63" t="n">
        <v>15000</v>
      </c>
      <c r="H63" t="inlineStr">
        <is>
          <t>2035-09-30T22:00:00Z</t>
        </is>
      </c>
      <c r="I63" t="n">
        <v>0.0445813507</v>
      </c>
      <c r="J63" t="n">
        <v>99.5522</v>
      </c>
      <c r="K63" t="n">
        <v>94.34</v>
      </c>
      <c r="L63" t="n">
        <v>1</v>
      </c>
      <c r="M63" t="n">
        <v>14191.05</v>
      </c>
      <c r="N63" t="n">
        <v>40.05</v>
      </c>
      <c r="O63" t="n">
        <v>-5.23564521929199</v>
      </c>
      <c r="P63" t="n">
        <v>-5.23564521929199</v>
      </c>
      <c r="Q63" t="n">
        <v>4.51111980278932</v>
      </c>
    </row>
    <row r="64">
      <c r="A64" t="inlineStr">
        <is>
          <t>3.6% Italy Treasury Bonds 01.10.2035 Reg-S Senior</t>
        </is>
      </c>
      <c r="B64" t="inlineStr">
        <is>
          <t>IT0005648149</t>
        </is>
      </c>
      <c r="C64" t="inlineStr">
        <is>
          <t>Laruffa, Sergio</t>
        </is>
      </c>
      <c r="D64" t="n">
        <v>1591822.001</v>
      </c>
      <c r="E64" t="inlineStr">
        <is>
          <t>EUR</t>
        </is>
      </c>
      <c r="F64" t="inlineStr">
        <is>
          <t>USD</t>
        </is>
      </c>
      <c r="G64" t="n">
        <v>238000</v>
      </c>
      <c r="H64" t="inlineStr">
        <is>
          <t>2035-09-30T22:00:00Z</t>
        </is>
      </c>
      <c r="I64" t="n">
        <v>0.0445813507</v>
      </c>
      <c r="J64" t="n">
        <v>99.4375714285714</v>
      </c>
      <c r="K64" t="n">
        <v>94.34</v>
      </c>
      <c r="L64" t="n">
        <v>1.1144</v>
      </c>
      <c r="M64" t="n">
        <v>225164.74</v>
      </c>
      <c r="N64" t="n">
        <v>635.54</v>
      </c>
      <c r="O64" t="n">
        <v>-5.12640378816285</v>
      </c>
      <c r="P64" t="n">
        <v>-8.88344008830494</v>
      </c>
      <c r="Q64" t="n">
        <v>5.12307586932528</v>
      </c>
    </row>
    <row r="65">
      <c r="A65" t="inlineStr">
        <is>
          <t>3.6% Italy Treasury Bonds 01.10.2035 Reg-S Senior</t>
        </is>
      </c>
      <c r="B65" t="inlineStr">
        <is>
          <t>IT0005648149</t>
        </is>
      </c>
      <c r="C65" t="inlineStr">
        <is>
          <t>Bucchioni, Fabio</t>
        </is>
      </c>
      <c r="D65" t="n">
        <v>1592092.001</v>
      </c>
      <c r="E65" t="inlineStr">
        <is>
          <t>EUR</t>
        </is>
      </c>
      <c r="F65" t="inlineStr">
        <is>
          <t>EUR</t>
        </is>
      </c>
      <c r="G65" t="n">
        <v>25000</v>
      </c>
      <c r="H65" t="inlineStr">
        <is>
          <t>2035-09-30T22:00:00Z</t>
        </is>
      </c>
      <c r="I65" t="n">
        <v>0.0445813507</v>
      </c>
      <c r="J65" t="n">
        <v>99.5382</v>
      </c>
      <c r="K65" t="n">
        <v>94.34</v>
      </c>
      <c r="L65" t="n">
        <v>1</v>
      </c>
      <c r="M65" t="n">
        <v>23651.76</v>
      </c>
      <c r="N65" t="n">
        <v>66.76000000000001</v>
      </c>
      <c r="O65" t="n">
        <v>-5.22231665832815</v>
      </c>
      <c r="P65" t="n">
        <v>-5.22231665832815</v>
      </c>
      <c r="Q65" t="n">
        <v>4.79823658755818</v>
      </c>
    </row>
    <row r="66">
      <c r="A66" t="inlineStr">
        <is>
          <t>3.6% Italy Treasury Bonds 01.10.2035 Reg-S Senior</t>
        </is>
      </c>
      <c r="B66" t="inlineStr">
        <is>
          <t>IT0005648149</t>
        </is>
      </c>
      <c r="C66" t="inlineStr">
        <is>
          <t>Alemagna, Alberto Pietro</t>
        </is>
      </c>
      <c r="D66" t="n">
        <v>1627998.001</v>
      </c>
      <c r="E66" t="inlineStr">
        <is>
          <t>EUR</t>
        </is>
      </c>
      <c r="F66" t="inlineStr">
        <is>
          <t>EUR</t>
        </is>
      </c>
      <c r="G66" t="n">
        <v>144000</v>
      </c>
      <c r="H66" t="inlineStr">
        <is>
          <t>2035-09-30T22:00:00Z</t>
        </is>
      </c>
      <c r="I66" t="n">
        <v>0.0445813507</v>
      </c>
      <c r="J66" t="n">
        <v>99.4449583333333</v>
      </c>
      <c r="K66" t="n">
        <v>94.34</v>
      </c>
      <c r="L66" t="n">
        <v>1</v>
      </c>
      <c r="M66" t="n">
        <v>136234.13</v>
      </c>
      <c r="N66" t="n">
        <v>384.53</v>
      </c>
      <c r="O66" t="n">
        <v>-5.13345112602071</v>
      </c>
      <c r="P66" t="n">
        <v>-5.13345112602071</v>
      </c>
      <c r="Q66" t="n">
        <v>4.82150477840594</v>
      </c>
    </row>
    <row r="67">
      <c r="A67" t="inlineStr">
        <is>
          <t>3.6% Italy Treasury Bonds 01.10.2035 Reg-S Senior</t>
        </is>
      </c>
      <c r="B67" t="inlineStr">
        <is>
          <t>IT0005648149</t>
        </is>
      </c>
      <c r="C67" t="inlineStr">
        <is>
          <t>Simon Fiduciaria S.p.A. - POS. FID. 6297</t>
        </is>
      </c>
      <c r="D67" t="n">
        <v>1660666.001</v>
      </c>
      <c r="E67" t="inlineStr">
        <is>
          <t>EUR</t>
        </is>
      </c>
      <c r="F67" t="inlineStr">
        <is>
          <t>EUR</t>
        </is>
      </c>
      <c r="G67" t="n">
        <v>191000</v>
      </c>
      <c r="H67" t="inlineStr">
        <is>
          <t>2035-09-30T22:00:00Z</t>
        </is>
      </c>
      <c r="I67" t="n">
        <v>0.0445813507</v>
      </c>
      <c r="J67" t="n">
        <v>99.4280732984293</v>
      </c>
      <c r="K67" t="n">
        <v>94.34</v>
      </c>
      <c r="L67" t="n">
        <v>1</v>
      </c>
      <c r="M67" t="n">
        <v>180699.43</v>
      </c>
      <c r="N67" t="n">
        <v>510.03</v>
      </c>
      <c r="O67" t="n">
        <v>-5.11734073651178</v>
      </c>
      <c r="P67" t="n">
        <v>-5.11734073651178</v>
      </c>
      <c r="Q67" t="n">
        <v>4.79695943700604</v>
      </c>
    </row>
    <row r="68">
      <c r="A68" t="inlineStr">
        <is>
          <t>3.6% Italy Treasury Bonds 01.10.2035 Reg-S Senior</t>
        </is>
      </c>
      <c r="B68" t="inlineStr">
        <is>
          <t>IT0005648149</t>
        </is>
      </c>
      <c r="C68" t="inlineStr">
        <is>
          <t>Marchesi, Riccardo</t>
        </is>
      </c>
      <c r="D68" t="n">
        <v>1592866.001</v>
      </c>
      <c r="E68" t="inlineStr">
        <is>
          <t>EUR</t>
        </is>
      </c>
      <c r="F68" t="inlineStr">
        <is>
          <t>EUR</t>
        </is>
      </c>
      <c r="G68" t="n">
        <v>67000</v>
      </c>
      <c r="H68" t="inlineStr">
        <is>
          <t>2035-09-30T22:00:00Z</t>
        </is>
      </c>
      <c r="I68" t="n">
        <v>0.0445813507</v>
      </c>
      <c r="J68" t="n">
        <v>99.4351343283582</v>
      </c>
      <c r="K68" t="n">
        <v>94.34</v>
      </c>
      <c r="L68" t="n">
        <v>1</v>
      </c>
      <c r="M68" t="n">
        <v>63386.71</v>
      </c>
      <c r="N68" t="n">
        <v>178.91</v>
      </c>
      <c r="O68" t="n">
        <v>-5.12407848872902</v>
      </c>
      <c r="P68" t="n">
        <v>-5.12407848872902</v>
      </c>
      <c r="Q68" t="n">
        <v>4.95960284186926</v>
      </c>
    </row>
    <row r="69">
      <c r="A69" t="inlineStr">
        <is>
          <t>3.6% Italy Treasury Bonds 01.10.2035 Reg-S Senior</t>
        </is>
      </c>
      <c r="B69" t="inlineStr">
        <is>
          <t>IT0005648149</t>
        </is>
      </c>
      <c r="C69" t="inlineStr">
        <is>
          <t>Saira Holding S.r.L.</t>
        </is>
      </c>
      <c r="D69" t="n">
        <v>1690341.001</v>
      </c>
      <c r="E69" t="inlineStr">
        <is>
          <t>EUR</t>
        </is>
      </c>
      <c r="F69" t="inlineStr">
        <is>
          <t>EUR</t>
        </is>
      </c>
      <c r="G69" t="n">
        <v>10000</v>
      </c>
      <c r="H69" t="inlineStr">
        <is>
          <t>2035-09-30T22:00:00Z</t>
        </is>
      </c>
      <c r="I69" t="n">
        <v>0.0445813507</v>
      </c>
      <c r="J69" t="n">
        <v>99.52979999999999</v>
      </c>
      <c r="K69" t="n">
        <v>94.34</v>
      </c>
      <c r="L69" t="n">
        <v>1</v>
      </c>
      <c r="M69" t="n">
        <v>9460.700000000001</v>
      </c>
      <c r="N69" t="n">
        <v>26.7</v>
      </c>
      <c r="O69" t="n">
        <v>-5.2143177219285</v>
      </c>
      <c r="P69" t="n">
        <v>-5.2143177219285</v>
      </c>
      <c r="Q69" t="n">
        <v>5.50795800289</v>
      </c>
    </row>
    <row r="70">
      <c r="A70" t="inlineStr">
        <is>
          <t>3.6% Italy Treasury Bonds 01.10.2035 Reg-S Senior</t>
        </is>
      </c>
      <c r="B70" t="inlineStr">
        <is>
          <t>IT0005648149</t>
        </is>
      </c>
      <c r="C70" t="inlineStr">
        <is>
          <t>Minardi, Mario Paolo</t>
        </is>
      </c>
      <c r="D70" t="n">
        <v>1650579.001</v>
      </c>
      <c r="E70" t="inlineStr">
        <is>
          <t>EUR</t>
        </is>
      </c>
      <c r="F70" t="inlineStr">
        <is>
          <t>EUR</t>
        </is>
      </c>
      <c r="G70" t="n">
        <v>30000</v>
      </c>
      <c r="H70" t="inlineStr">
        <is>
          <t>2035-09-30T22:00:00Z</t>
        </is>
      </c>
      <c r="I70" t="n">
        <v>0.0445813507</v>
      </c>
      <c r="J70" t="n">
        <v>99.5522</v>
      </c>
      <c r="K70" t="n">
        <v>94.34</v>
      </c>
      <c r="L70" t="n">
        <v>1</v>
      </c>
      <c r="M70" t="n">
        <v>28382.11</v>
      </c>
      <c r="N70" t="n">
        <v>80.11</v>
      </c>
      <c r="O70" t="n">
        <v>-5.23564521929199</v>
      </c>
      <c r="P70" t="n">
        <v>-5.23564521929199</v>
      </c>
      <c r="Q70" t="n">
        <v>5.04090654408263</v>
      </c>
    </row>
    <row r="71">
      <c r="A71" t="inlineStr">
        <is>
          <t>3.6% Italy Treasury Bonds 01.10.2035 Reg-S Senior</t>
        </is>
      </c>
      <c r="B71" t="inlineStr">
        <is>
          <t>IT0005648149</t>
        </is>
      </c>
      <c r="C71" t="inlineStr">
        <is>
          <t>Cariboni, Elisa</t>
        </is>
      </c>
      <c r="D71" t="n">
        <v>1600379.001</v>
      </c>
      <c r="E71" t="inlineStr">
        <is>
          <t>EUR</t>
        </is>
      </c>
      <c r="F71" t="inlineStr">
        <is>
          <t>EUR</t>
        </is>
      </c>
      <c r="G71" t="n">
        <v>67000</v>
      </c>
      <c r="H71" t="inlineStr">
        <is>
          <t>2035-09-30T22:00:00Z</t>
        </is>
      </c>
      <c r="I71" t="n">
        <v>0.0445813507</v>
      </c>
      <c r="J71" t="n">
        <v>99.4447910447761</v>
      </c>
      <c r="K71" t="n">
        <v>94.34</v>
      </c>
      <c r="L71" t="n">
        <v>1</v>
      </c>
      <c r="M71" t="n">
        <v>63386.71</v>
      </c>
      <c r="N71" t="n">
        <v>178.91</v>
      </c>
      <c r="O71" t="n">
        <v>-5.13329153909894</v>
      </c>
      <c r="P71" t="n">
        <v>-5.13329153909894</v>
      </c>
      <c r="Q71" t="n">
        <v>4.93512116020404</v>
      </c>
    </row>
    <row r="72">
      <c r="A72" t="inlineStr">
        <is>
          <t>3.6% Italy Treasury Bonds 01.10.2035 Reg-S Senior</t>
        </is>
      </c>
      <c r="B72" t="inlineStr">
        <is>
          <t>IT0005648149</t>
        </is>
      </c>
      <c r="C72" t="inlineStr">
        <is>
          <t>Hera Società Fiduciaria e di revisione S.p.A. -   05250</t>
        </is>
      </c>
      <c r="D72" t="n">
        <v>1696403.001</v>
      </c>
      <c r="E72" t="inlineStr">
        <is>
          <t>EUR</t>
        </is>
      </c>
      <c r="F72" t="inlineStr">
        <is>
          <t>EUR</t>
        </is>
      </c>
      <c r="G72" t="n">
        <v>30000</v>
      </c>
      <c r="H72" t="inlineStr">
        <is>
          <t>2035-09-30T22:00:00Z</t>
        </is>
      </c>
      <c r="I72" t="n">
        <v>0.0445813507</v>
      </c>
      <c r="J72" t="n">
        <v>99.5256333333333</v>
      </c>
      <c r="K72" t="n">
        <v>94.34</v>
      </c>
      <c r="L72" t="n">
        <v>1</v>
      </c>
      <c r="M72" t="n">
        <v>28382.11</v>
      </c>
      <c r="N72" t="n">
        <v>80.11</v>
      </c>
      <c r="O72" t="n">
        <v>-5.21034949455232</v>
      </c>
      <c r="P72" t="n">
        <v>-5.21034949455232</v>
      </c>
      <c r="Q72" t="n">
        <v>4.34040969381527</v>
      </c>
    </row>
    <row r="73">
      <c r="A73" t="inlineStr">
        <is>
          <t>3.6% Italy Treasury Bonds 01.10.2035 Reg-S Senior</t>
        </is>
      </c>
      <c r="B73" t="inlineStr">
        <is>
          <t>IT0005648149</t>
        </is>
      </c>
      <c r="C73" t="inlineStr">
        <is>
          <t>Lettieri, Riccardo</t>
        </is>
      </c>
      <c r="D73" t="n">
        <v>1660765.001</v>
      </c>
      <c r="E73" t="inlineStr">
        <is>
          <t>EUR</t>
        </is>
      </c>
      <c r="F73" t="inlineStr">
        <is>
          <t>EUR</t>
        </is>
      </c>
      <c r="G73" t="n">
        <v>61000</v>
      </c>
      <c r="H73" t="inlineStr">
        <is>
          <t>2035-09-30T22:00:00Z</t>
        </is>
      </c>
      <c r="I73" t="n">
        <v>0.0445813507</v>
      </c>
      <c r="J73" t="n">
        <v>99.4406885245901</v>
      </c>
      <c r="K73" t="n">
        <v>94.34</v>
      </c>
      <c r="L73" t="n">
        <v>1</v>
      </c>
      <c r="M73" t="n">
        <v>57710.29</v>
      </c>
      <c r="N73" t="n">
        <v>162.89</v>
      </c>
      <c r="O73" t="n">
        <v>-5.12937772281096</v>
      </c>
      <c r="P73" t="n">
        <v>-5.12937772281096</v>
      </c>
      <c r="Q73" t="n">
        <v>6.96919587428575</v>
      </c>
    </row>
    <row r="74">
      <c r="A74" t="inlineStr">
        <is>
          <t>3.6% Italy Treasury Bonds 01.10.2035 Reg-S Senior</t>
        </is>
      </c>
      <c r="B74" t="inlineStr">
        <is>
          <t>IT0005648149</t>
        </is>
      </c>
      <c r="C74" t="inlineStr">
        <is>
          <t>Alemagna, Tancredi Luigi</t>
        </is>
      </c>
      <c r="D74" t="n">
        <v>1619782.001</v>
      </c>
      <c r="E74" t="inlineStr">
        <is>
          <t>EUR</t>
        </is>
      </c>
      <c r="F74" t="inlineStr">
        <is>
          <t>EUR</t>
        </is>
      </c>
      <c r="G74" t="n">
        <v>144000</v>
      </c>
      <c r="H74" t="inlineStr">
        <is>
          <t>2035-09-30T22:00:00Z</t>
        </is>
      </c>
      <c r="I74" t="n">
        <v>0.0445813507</v>
      </c>
      <c r="J74" t="n">
        <v>99.4369027777777</v>
      </c>
      <c r="K74" t="n">
        <v>94.34</v>
      </c>
      <c r="L74" t="n">
        <v>1</v>
      </c>
      <c r="M74" t="n">
        <v>136234.13</v>
      </c>
      <c r="N74" t="n">
        <v>384.53</v>
      </c>
      <c r="O74" t="n">
        <v>-5.12576582274326</v>
      </c>
      <c r="P74" t="n">
        <v>-5.12576582274326</v>
      </c>
      <c r="Q74" t="n">
        <v>5.2125653214345</v>
      </c>
    </row>
    <row r="75">
      <c r="A75" t="inlineStr">
        <is>
          <t>3.6% Italy Treasury Bonds 01.10.2035 Reg-S Senior</t>
        </is>
      </c>
      <c r="B75" t="inlineStr">
        <is>
          <t>IT0005648149</t>
        </is>
      </c>
      <c r="C75" t="inlineStr">
        <is>
          <t>Terenzi, Federico</t>
        </is>
      </c>
      <c r="D75" t="n">
        <v>1620379.001</v>
      </c>
      <c r="E75" t="inlineStr">
        <is>
          <t>EUR</t>
        </is>
      </c>
      <c r="F75" t="inlineStr">
        <is>
          <t>EUR</t>
        </is>
      </c>
      <c r="G75" t="n">
        <v>8000</v>
      </c>
      <c r="H75" t="inlineStr">
        <is>
          <t>2035-09-30T22:00:00Z</t>
        </is>
      </c>
      <c r="I75" t="n">
        <v>0.0445813507</v>
      </c>
      <c r="J75" t="n">
        <v>99.39100000000001</v>
      </c>
      <c r="K75" t="n">
        <v>94.34</v>
      </c>
      <c r="L75" t="n">
        <v>1</v>
      </c>
      <c r="M75" t="n">
        <v>7568.56</v>
      </c>
      <c r="N75" t="n">
        <v>21.36</v>
      </c>
      <c r="O75" t="n">
        <v>-5.08194906983529</v>
      </c>
      <c r="P75" t="n">
        <v>-5.08194906983529</v>
      </c>
      <c r="Q75" t="n">
        <v>6.20097522128461</v>
      </c>
    </row>
    <row r="76">
      <c r="A76" t="inlineStr">
        <is>
          <t>3.6% Italy Treasury Bonds 01.10.2035 Reg-S Senior</t>
        </is>
      </c>
      <c r="B76" t="inlineStr">
        <is>
          <t>IT0005648149</t>
        </is>
      </c>
      <c r="C76" t="inlineStr">
        <is>
          <t>Simon Fiduciaria S.p.A. - POS. FID. 6297</t>
        </is>
      </c>
      <c r="D76" t="n">
        <v>1660666.003</v>
      </c>
      <c r="E76" t="inlineStr">
        <is>
          <t>EUR</t>
        </is>
      </c>
      <c r="F76" t="inlineStr">
        <is>
          <t>EUR</t>
        </is>
      </c>
      <c r="G76" t="n">
        <v>139000</v>
      </c>
      <c r="H76" t="inlineStr">
        <is>
          <t>2035-09-30T22:00:00Z</t>
        </is>
      </c>
      <c r="I76" t="n">
        <v>0.0445813507</v>
      </c>
      <c r="J76" t="n">
        <v>99.4370143884892</v>
      </c>
      <c r="K76" t="n">
        <v>94.34</v>
      </c>
      <c r="L76" t="n">
        <v>1</v>
      </c>
      <c r="M76" t="n">
        <v>131503.78</v>
      </c>
      <c r="N76" t="n">
        <v>371.18</v>
      </c>
      <c r="O76" t="n">
        <v>-5.12587231207058</v>
      </c>
      <c r="P76" t="n">
        <v>-5.12587231207058</v>
      </c>
      <c r="Q76" t="n">
        <v>4.91953317224239</v>
      </c>
    </row>
    <row r="77">
      <c r="A77" t="inlineStr">
        <is>
          <t>3.6% Italy Treasury Bonds 01.10.2035 Reg-S Senior</t>
        </is>
      </c>
      <c r="B77" t="inlineStr">
        <is>
          <t>IT0005648149</t>
        </is>
      </c>
      <c r="C77" t="inlineStr">
        <is>
          <t>Fariniundici S.p.A.</t>
        </is>
      </c>
      <c r="D77" t="n">
        <v>1644446.001</v>
      </c>
      <c r="E77" t="inlineStr">
        <is>
          <t>EUR</t>
        </is>
      </c>
      <c r="F77" t="inlineStr">
        <is>
          <t>EUR</t>
        </is>
      </c>
      <c r="G77" t="n">
        <v>565000</v>
      </c>
      <c r="H77" t="inlineStr">
        <is>
          <t>2035-09-30T22:00:00Z</t>
        </is>
      </c>
      <c r="I77" t="n">
        <v>0.0445813507</v>
      </c>
      <c r="J77" t="n">
        <v>99.4137539823008</v>
      </c>
      <c r="K77" t="n">
        <v>94.34</v>
      </c>
      <c r="L77" t="n">
        <v>1</v>
      </c>
      <c r="M77" t="n">
        <v>534529.74</v>
      </c>
      <c r="N77" t="n">
        <v>1508.74</v>
      </c>
      <c r="O77" t="n">
        <v>-5.10367406828253</v>
      </c>
      <c r="P77" t="n">
        <v>-5.10367406828253</v>
      </c>
      <c r="Q77" t="n">
        <v>4.90884156566873</v>
      </c>
    </row>
    <row r="78">
      <c r="A78" t="inlineStr">
        <is>
          <t>3.6% Italy Treasury Bonds 01.10.2035 Reg-S Senior</t>
        </is>
      </c>
      <c r="B78" t="inlineStr">
        <is>
          <t>IT0005648149</t>
        </is>
      </c>
      <c r="C78" t="inlineStr">
        <is>
          <t>Bertini, Marco</t>
        </is>
      </c>
      <c r="D78" t="n">
        <v>112029.001</v>
      </c>
      <c r="E78" t="inlineStr">
        <is>
          <t>EUR</t>
        </is>
      </c>
      <c r="F78" t="inlineStr">
        <is>
          <t>USD</t>
        </is>
      </c>
      <c r="G78" t="n">
        <v>77000</v>
      </c>
      <c r="H78" t="inlineStr">
        <is>
          <t>2035-09-30T22:00:00Z</t>
        </is>
      </c>
      <c r="I78" t="n">
        <v>0.0445813507</v>
      </c>
      <c r="J78" t="n">
        <v>99.4636233766233</v>
      </c>
      <c r="K78" t="n">
        <v>94.34</v>
      </c>
      <c r="L78" t="n">
        <v>1.1144</v>
      </c>
      <c r="M78" t="n">
        <v>72847.42</v>
      </c>
      <c r="N78" t="n">
        <v>205.62</v>
      </c>
      <c r="O78" t="n">
        <v>-5.15125349618779</v>
      </c>
      <c r="P78" t="n">
        <v>-8.92112438622774</v>
      </c>
      <c r="Q78" t="n">
        <v>5.25224292384096</v>
      </c>
    </row>
    <row r="79">
      <c r="A79" t="inlineStr">
        <is>
          <t>3.6% Italy Treasury Bonds 01.10.2035 Reg-S Senior</t>
        </is>
      </c>
      <c r="B79" t="inlineStr">
        <is>
          <t>IT0005648149</t>
        </is>
      </c>
      <c r="C79" t="inlineStr">
        <is>
          <t>Ancona, Giselda</t>
        </is>
      </c>
      <c r="D79" t="n">
        <v>1648638.001</v>
      </c>
      <c r="E79" t="inlineStr">
        <is>
          <t>EUR</t>
        </is>
      </c>
      <c r="F79" t="inlineStr">
        <is>
          <t>EUR</t>
        </is>
      </c>
      <c r="G79" t="n">
        <v>52000</v>
      </c>
      <c r="H79" t="inlineStr">
        <is>
          <t>2035-09-30T22:00:00Z</t>
        </is>
      </c>
      <c r="I79" t="n">
        <v>0.0445813507</v>
      </c>
      <c r="J79" t="n">
        <v>99.4051346153846</v>
      </c>
      <c r="K79" t="n">
        <v>94.34</v>
      </c>
      <c r="L79" t="n">
        <v>1</v>
      </c>
      <c r="M79" t="n">
        <v>49195.66</v>
      </c>
      <c r="N79" t="n">
        <v>138.86</v>
      </c>
      <c r="O79" t="n">
        <v>-5.09544565779472</v>
      </c>
      <c r="P79" t="n">
        <v>-5.09544565779472</v>
      </c>
      <c r="Q79" t="n">
        <v>5.07084706521151</v>
      </c>
    </row>
    <row r="80">
      <c r="A80" t="inlineStr">
        <is>
          <t>3.6% Italy Treasury Bonds 01.10.2035 Reg-S Senior</t>
        </is>
      </c>
      <c r="B80" t="inlineStr">
        <is>
          <t>IT0005648149</t>
        </is>
      </c>
      <c r="C80" t="inlineStr">
        <is>
          <t>Virlinzi, Francesco</t>
        </is>
      </c>
      <c r="D80" t="n">
        <v>1648903.001</v>
      </c>
      <c r="E80" t="inlineStr">
        <is>
          <t>EUR</t>
        </is>
      </c>
      <c r="F80" t="inlineStr">
        <is>
          <t>EUR</t>
        </is>
      </c>
      <c r="G80" t="n">
        <v>485000</v>
      </c>
      <c r="H80" t="inlineStr">
        <is>
          <t>2035-09-30T22:00:00Z</t>
        </is>
      </c>
      <c r="I80" t="n">
        <v>0.0445813507</v>
      </c>
      <c r="J80" t="n">
        <v>99.415193814433</v>
      </c>
      <c r="K80" t="n">
        <v>94.34</v>
      </c>
      <c r="L80" t="n">
        <v>1</v>
      </c>
      <c r="M80" t="n">
        <v>458844.11</v>
      </c>
      <c r="N80" t="n">
        <v>1295.11</v>
      </c>
      <c r="O80" t="n">
        <v>-5.10504845356563</v>
      </c>
      <c r="P80" t="n">
        <v>-5.10504845356563</v>
      </c>
      <c r="Q80" t="n">
        <v>4.95097050372446</v>
      </c>
    </row>
    <row r="81">
      <c r="A81" t="inlineStr">
        <is>
          <t>3.6% Italy Treasury Bonds 01.10.2035 Reg-S Senior</t>
        </is>
      </c>
      <c r="B81" t="inlineStr">
        <is>
          <t>IT0005648149</t>
        </is>
      </c>
      <c r="C81" t="inlineStr">
        <is>
          <t>Malerba, Maria Clara</t>
        </is>
      </c>
      <c r="D81" t="n">
        <v>1632673.001</v>
      </c>
      <c r="E81" t="inlineStr">
        <is>
          <t>EUR</t>
        </is>
      </c>
      <c r="F81" t="inlineStr">
        <is>
          <t>EUR</t>
        </is>
      </c>
      <c r="G81" t="n">
        <v>300000</v>
      </c>
      <c r="H81" t="inlineStr">
        <is>
          <t>2035-09-30T22:00:00Z</t>
        </is>
      </c>
      <c r="I81" t="n">
        <v>0.0445813507</v>
      </c>
      <c r="J81" t="n">
        <v>99.4385266666666</v>
      </c>
      <c r="K81" t="n">
        <v>94.34</v>
      </c>
      <c r="L81" t="n">
        <v>1</v>
      </c>
      <c r="M81" t="n">
        <v>283821.1</v>
      </c>
      <c r="N81" t="n">
        <v>801.1</v>
      </c>
      <c r="O81" t="n">
        <v>-5.1273151740851</v>
      </c>
      <c r="P81" t="n">
        <v>-5.1273151740851</v>
      </c>
      <c r="Q81" t="n">
        <v>5.39550772816989</v>
      </c>
    </row>
    <row r="82">
      <c r="A82" t="inlineStr">
        <is>
          <t>3.6% Italy Treasury Bonds 01.10.2035 Reg-S Senior</t>
        </is>
      </c>
      <c r="B82" t="inlineStr">
        <is>
          <t>IT0005648149</t>
        </is>
      </c>
      <c r="C82" t="inlineStr">
        <is>
          <t>Galli, Federico</t>
        </is>
      </c>
      <c r="D82" t="n">
        <v>1621661.001</v>
      </c>
      <c r="E82" t="inlineStr">
        <is>
          <t>EUR</t>
        </is>
      </c>
      <c r="F82" t="inlineStr">
        <is>
          <t>EUR</t>
        </is>
      </c>
      <c r="G82" t="n">
        <v>25000</v>
      </c>
      <c r="H82" t="inlineStr">
        <is>
          <t>2035-09-30T22:00:00Z</t>
        </is>
      </c>
      <c r="I82" t="n">
        <v>0.0445813507</v>
      </c>
      <c r="J82" t="n">
        <v>99.5346</v>
      </c>
      <c r="K82" t="n">
        <v>94.34</v>
      </c>
      <c r="L82" t="n">
        <v>1</v>
      </c>
      <c r="M82" t="n">
        <v>23651.76</v>
      </c>
      <c r="N82" t="n">
        <v>66.76000000000001</v>
      </c>
      <c r="O82" t="n">
        <v>-5.21888870804725</v>
      </c>
      <c r="P82" t="n">
        <v>-5.21888870804725</v>
      </c>
      <c r="Q82" t="n">
        <v>4.30012375798849</v>
      </c>
    </row>
    <row r="83">
      <c r="A83" t="inlineStr">
        <is>
          <t>3.6% Italy Treasury Bonds 01.10.2035 Reg-S Senior</t>
        </is>
      </c>
      <c r="B83" t="inlineStr">
        <is>
          <t>IT0005648149</t>
        </is>
      </c>
      <c r="C83" t="inlineStr">
        <is>
          <t>BISVALLES ASSETS INC.</t>
        </is>
      </c>
      <c r="D83" t="n">
        <v>1649314.001</v>
      </c>
      <c r="E83" t="inlineStr">
        <is>
          <t>EUR</t>
        </is>
      </c>
      <c r="F83" t="inlineStr">
        <is>
          <t>EUR</t>
        </is>
      </c>
      <c r="G83" t="n">
        <v>512000</v>
      </c>
      <c r="H83" t="inlineStr">
        <is>
          <t>2035-09-30T22:00:00Z</t>
        </is>
      </c>
      <c r="I83" t="n">
        <v>0.0445813507</v>
      </c>
      <c r="J83" t="n">
        <v>99.4344375</v>
      </c>
      <c r="K83" t="n">
        <v>94.34</v>
      </c>
      <c r="L83" t="n">
        <v>1</v>
      </c>
      <c r="M83" t="n">
        <v>484388.01</v>
      </c>
      <c r="N83" t="n">
        <v>1367.21</v>
      </c>
      <c r="O83" t="n">
        <v>-5.12341360607586</v>
      </c>
      <c r="P83" t="n">
        <v>-5.12341360607586</v>
      </c>
      <c r="Q83" t="n">
        <v>5.00097653607619</v>
      </c>
    </row>
    <row r="84">
      <c r="A84" t="inlineStr">
        <is>
          <t>3.6% Italy Treasury Bonds 01.10.2035 Reg-S Senior</t>
        </is>
      </c>
      <c r="B84" t="inlineStr">
        <is>
          <t>IT0005648149</t>
        </is>
      </c>
      <c r="C84" t="inlineStr">
        <is>
          <t>Laruffa, Serena</t>
        </is>
      </c>
      <c r="D84" t="n">
        <v>1596193.001</v>
      </c>
      <c r="E84" t="inlineStr">
        <is>
          <t>EUR</t>
        </is>
      </c>
      <c r="F84" t="inlineStr">
        <is>
          <t>EUR</t>
        </is>
      </c>
      <c r="G84" t="n">
        <v>176000</v>
      </c>
      <c r="H84" t="inlineStr">
        <is>
          <t>2035-09-30T22:00:00Z</t>
        </is>
      </c>
      <c r="I84" t="n">
        <v>0.0445813507</v>
      </c>
      <c r="J84" t="n">
        <v>99.4131306818181</v>
      </c>
      <c r="K84" t="n">
        <v>94.34</v>
      </c>
      <c r="L84" t="n">
        <v>1</v>
      </c>
      <c r="M84" t="n">
        <v>166508.38</v>
      </c>
      <c r="N84" t="n">
        <v>469.98</v>
      </c>
      <c r="O84" t="n">
        <v>-5.10307908726388</v>
      </c>
      <c r="P84" t="n">
        <v>-5.10307908726388</v>
      </c>
      <c r="Q84" t="n">
        <v>5.46713975544885</v>
      </c>
    </row>
    <row r="85">
      <c r="A85" t="inlineStr">
        <is>
          <t>3.6% Italy Treasury Bonds 01.10.2035 Reg-S Senior</t>
        </is>
      </c>
      <c r="B85" t="inlineStr">
        <is>
          <t>IT0005648149</t>
        </is>
      </c>
      <c r="C85" t="inlineStr">
        <is>
          <t>Hera Società Fiduciaria e di revisione S.p.A. - - 05361</t>
        </is>
      </c>
      <c r="D85" t="n">
        <v>1706128.001</v>
      </c>
      <c r="E85" t="inlineStr">
        <is>
          <t>EUR</t>
        </is>
      </c>
      <c r="F85" t="inlineStr">
        <is>
          <t>EUR</t>
        </is>
      </c>
      <c r="G85" t="n">
        <v>57000</v>
      </c>
      <c r="H85" t="inlineStr">
        <is>
          <t>2035-09-30T22:00:00Z</t>
        </is>
      </c>
      <c r="I85" t="n">
        <v>0.0445813507</v>
      </c>
      <c r="J85" t="n">
        <v>99.4192631578947</v>
      </c>
      <c r="K85" t="n">
        <v>94.34</v>
      </c>
      <c r="L85" t="n">
        <v>1</v>
      </c>
      <c r="M85" t="n">
        <v>53926.01</v>
      </c>
      <c r="N85" t="n">
        <v>152.21</v>
      </c>
      <c r="O85" t="n">
        <v>-5.10893261180984</v>
      </c>
      <c r="P85" t="n">
        <v>-5.10893261180984</v>
      </c>
      <c r="Q85" t="n">
        <v>5.32554803652622</v>
      </c>
    </row>
    <row r="86">
      <c r="A86" t="inlineStr">
        <is>
          <t>3.6% Italy Treasury Bonds 01.10.2035 Reg-S Senior</t>
        </is>
      </c>
      <c r="B86" t="inlineStr">
        <is>
          <t>IT0005648149</t>
        </is>
      </c>
      <c r="C86" t="inlineStr">
        <is>
          <t>Lettieri, Umberto</t>
        </is>
      </c>
      <c r="D86" t="n">
        <v>1710712.001</v>
      </c>
      <c r="E86" t="inlineStr">
        <is>
          <t>EUR</t>
        </is>
      </c>
      <c r="F86" t="inlineStr">
        <is>
          <t>USD</t>
        </is>
      </c>
      <c r="G86" t="n">
        <v>8000</v>
      </c>
      <c r="H86" t="inlineStr">
        <is>
          <t>2035-09-30T22:00:00Z</t>
        </is>
      </c>
      <c r="I86" t="n">
        <v>0.0445813507</v>
      </c>
      <c r="J86" t="n">
        <v>99.19325000000001</v>
      </c>
      <c r="K86" t="n">
        <v>94.34</v>
      </c>
      <c r="L86" t="n">
        <v>1.1144</v>
      </c>
      <c r="M86" t="n">
        <v>7568.56</v>
      </c>
      <c r="N86" t="n">
        <v>21.36</v>
      </c>
      <c r="O86" t="n">
        <v>-4.8927220350175</v>
      </c>
      <c r="P86" t="n">
        <v>-8.02721043803075</v>
      </c>
      <c r="Q86" t="n">
        <v>0.585411982555761</v>
      </c>
    </row>
    <row r="87">
      <c r="A87" t="inlineStr">
        <is>
          <t>3.6% Italy Treasury Bonds 01.10.2035 Reg-S Senior</t>
        </is>
      </c>
      <c r="B87" t="inlineStr">
        <is>
          <t>IT0005648149</t>
        </is>
      </c>
      <c r="C87" t="inlineStr">
        <is>
          <t>Laruffa, Alessia</t>
        </is>
      </c>
      <c r="D87" t="n">
        <v>1596151.001</v>
      </c>
      <c r="E87" t="inlineStr">
        <is>
          <t>EUR</t>
        </is>
      </c>
      <c r="F87" t="inlineStr">
        <is>
          <t>EUR</t>
        </is>
      </c>
      <c r="G87" t="n">
        <v>129000</v>
      </c>
      <c r="H87" t="inlineStr">
        <is>
          <t>2035-09-30T22:00:00Z</t>
        </is>
      </c>
      <c r="I87" t="n">
        <v>0.0445813507</v>
      </c>
      <c r="J87" t="n">
        <v>99.4345426356589</v>
      </c>
      <c r="K87" t="n">
        <v>94.34</v>
      </c>
      <c r="L87" t="n">
        <v>1</v>
      </c>
      <c r="M87" t="n">
        <v>122043.07</v>
      </c>
      <c r="N87" t="n">
        <v>344.47</v>
      </c>
      <c r="O87" t="n">
        <v>-5.12351392244642</v>
      </c>
      <c r="P87" t="n">
        <v>-5.12351392244642</v>
      </c>
      <c r="Q87" t="n">
        <v>5.24927818218989</v>
      </c>
    </row>
    <row r="88">
      <c r="A88" t="inlineStr">
        <is>
          <t>3.6% Italy Treasury Bonds 01.10.2035 Reg-S Senior</t>
        </is>
      </c>
      <c r="B88" t="inlineStr">
        <is>
          <t>IT0005648149</t>
        </is>
      </c>
      <c r="C88" t="inlineStr">
        <is>
          <t>Siciliano, Rosanna</t>
        </is>
      </c>
      <c r="D88" t="n">
        <v>1597944.001</v>
      </c>
      <c r="E88" t="inlineStr">
        <is>
          <t>EUR</t>
        </is>
      </c>
      <c r="F88" t="inlineStr">
        <is>
          <t>EUR</t>
        </is>
      </c>
      <c r="G88" t="n">
        <v>104000</v>
      </c>
      <c r="H88" t="inlineStr">
        <is>
          <t>2035-09-30T22:00:00Z</t>
        </is>
      </c>
      <c r="I88" t="n">
        <v>0.0445813507</v>
      </c>
      <c r="J88" t="n">
        <v>99.4073076923077</v>
      </c>
      <c r="K88" t="n">
        <v>94.34</v>
      </c>
      <c r="L88" t="n">
        <v>1</v>
      </c>
      <c r="M88" t="n">
        <v>98391.31</v>
      </c>
      <c r="N88" t="n">
        <v>277.71</v>
      </c>
      <c r="O88" t="n">
        <v>-5.09752030302678</v>
      </c>
      <c r="P88" t="n">
        <v>-5.09752030302678</v>
      </c>
      <c r="Q88" t="n">
        <v>5.87476505133696</v>
      </c>
    </row>
    <row r="89">
      <c r="A89" t="inlineStr">
        <is>
          <t>3.65% Italy Treasury Bonds 01.08.2035 Senior</t>
        </is>
      </c>
      <c r="B89" t="inlineStr">
        <is>
          <t>IT0005631590</t>
        </is>
      </c>
      <c r="C89" t="inlineStr">
        <is>
          <t>Lettieri, Umberto</t>
        </is>
      </c>
      <c r="D89" t="n">
        <v>1710712.001</v>
      </c>
      <c r="E89" t="inlineStr">
        <is>
          <t>EUR</t>
        </is>
      </c>
      <c r="F89" t="inlineStr">
        <is>
          <t>USD</t>
        </is>
      </c>
      <c r="G89" t="n">
        <v>8000</v>
      </c>
      <c r="H89" t="inlineStr">
        <is>
          <t>2035-07-31T22:00:00Z</t>
        </is>
      </c>
      <c r="I89" t="n">
        <v>0.044396278</v>
      </c>
      <c r="J89" t="n">
        <v>99.748</v>
      </c>
      <c r="K89" t="n">
        <v>94.88</v>
      </c>
      <c r="L89" t="n">
        <v>1.1144</v>
      </c>
      <c r="M89" t="n">
        <v>7660.23</v>
      </c>
      <c r="N89" t="n">
        <v>69.83</v>
      </c>
      <c r="O89" t="n">
        <v>-4.88029835184665</v>
      </c>
      <c r="P89" t="n">
        <v>-8.015184582277181</v>
      </c>
      <c r="Q89" t="n">
        <v>0.592503085917424</v>
      </c>
    </row>
    <row r="90">
      <c r="A90" t="inlineStr">
        <is>
          <t>3.75% United States Treasury Notes 30.04.2027 Senior</t>
        </is>
      </c>
      <c r="B90" t="inlineStr">
        <is>
          <t>US91282CMY48</t>
        </is>
      </c>
      <c r="C90" t="inlineStr">
        <is>
          <t>Petrassi, Raffaele</t>
        </is>
      </c>
      <c r="D90" t="n">
        <v>1656189.001</v>
      </c>
      <c r="E90" t="inlineStr">
        <is>
          <t>USD</t>
        </is>
      </c>
      <c r="F90" t="inlineStr">
        <is>
          <t>EUR</t>
        </is>
      </c>
      <c r="G90" t="n">
        <v>3100</v>
      </c>
      <c r="H90" t="inlineStr">
        <is>
          <t>2027-04-29T22:00:00Z</t>
        </is>
      </c>
      <c r="I90" t="n">
        <v>0.04265</v>
      </c>
      <c r="J90" t="n">
        <v>99.9532258064516</v>
      </c>
      <c r="K90" t="n">
        <v>99.73999999999999</v>
      </c>
      <c r="L90" t="n">
        <v>1.1144</v>
      </c>
      <c r="M90" t="n">
        <v>3149.12</v>
      </c>
      <c r="N90" t="n">
        <v>57.18</v>
      </c>
      <c r="O90" t="n">
        <v>-0.213325587774926</v>
      </c>
      <c r="P90" t="n">
        <v>2.4818726151823</v>
      </c>
      <c r="Q90" t="n">
        <v>0.898256757627933</v>
      </c>
    </row>
    <row r="91">
      <c r="A91" t="inlineStr">
        <is>
          <t>3.75% United States Treasury Notes 30.04.2027 Senior</t>
        </is>
      </c>
      <c r="B91" t="inlineStr">
        <is>
          <t>US91282CMY48</t>
        </is>
      </c>
      <c r="C91" t="inlineStr">
        <is>
          <t>Laruffa, Sergio</t>
        </is>
      </c>
      <c r="D91" t="n">
        <v>1591822.001</v>
      </c>
      <c r="E91" t="inlineStr">
        <is>
          <t>USD</t>
        </is>
      </c>
      <c r="F91" t="inlineStr">
        <is>
          <t>USD</t>
        </is>
      </c>
      <c r="G91" t="n">
        <v>51600</v>
      </c>
      <c r="H91" t="inlineStr">
        <is>
          <t>2027-04-29T22:00:00Z</t>
        </is>
      </c>
      <c r="I91" t="n">
        <v>0.04265</v>
      </c>
      <c r="J91" t="n">
        <v>99.9531201550387</v>
      </c>
      <c r="K91" t="n">
        <v>99.73999999999999</v>
      </c>
      <c r="L91" t="n">
        <v>1</v>
      </c>
      <c r="M91" t="n">
        <v>52417.57</v>
      </c>
      <c r="N91" t="n">
        <v>951.73</v>
      </c>
      <c r="O91" t="n">
        <v>-0.21322011229683</v>
      </c>
      <c r="P91" t="n">
        <v>-0.21322011229683</v>
      </c>
      <c r="Q91" t="n">
        <v>1.07016051577823</v>
      </c>
    </row>
    <row r="92">
      <c r="A92" t="inlineStr">
        <is>
          <t>3.75% United States Treasury Notes 30.04.2027 Senior</t>
        </is>
      </c>
      <c r="B92" t="inlineStr">
        <is>
          <t>US91282CMY48</t>
        </is>
      </c>
      <c r="C92" t="inlineStr">
        <is>
          <t>Bucchioni, Fabio</t>
        </is>
      </c>
      <c r="D92" t="n">
        <v>1592092.001</v>
      </c>
      <c r="E92" t="inlineStr">
        <is>
          <t>USD</t>
        </is>
      </c>
      <c r="F92" t="inlineStr">
        <is>
          <t>EUR</t>
        </is>
      </c>
      <c r="G92" t="n">
        <v>4800</v>
      </c>
      <c r="H92" t="inlineStr">
        <is>
          <t>2027-04-29T22:00:00Z</t>
        </is>
      </c>
      <c r="I92" t="n">
        <v>0.04265</v>
      </c>
      <c r="J92" t="n">
        <v>99.953125</v>
      </c>
      <c r="K92" t="n">
        <v>99.73999999999999</v>
      </c>
      <c r="L92" t="n">
        <v>1.1144</v>
      </c>
      <c r="M92" t="n">
        <v>4876.05</v>
      </c>
      <c r="N92" t="n">
        <v>88.53</v>
      </c>
      <c r="O92" t="n">
        <v>-0.213224949194935</v>
      </c>
      <c r="P92" t="n">
        <v>2.48220944074545</v>
      </c>
      <c r="Q92" t="n">
        <v>0.887621915082645</v>
      </c>
    </row>
    <row r="93">
      <c r="A93" t="inlineStr">
        <is>
          <t>3.75% United States Treasury Notes 30.04.2027 Senior</t>
        </is>
      </c>
      <c r="B93" t="inlineStr">
        <is>
          <t>US91282CMY48</t>
        </is>
      </c>
      <c r="C93" t="inlineStr">
        <is>
          <t>Alemagna, Alberto Pietro</t>
        </is>
      </c>
      <c r="D93" t="n">
        <v>1627998.001</v>
      </c>
      <c r="E93" t="inlineStr">
        <is>
          <t>USD</t>
        </is>
      </c>
      <c r="F93" t="inlineStr">
        <is>
          <t>EUR</t>
        </is>
      </c>
      <c r="G93" t="n">
        <v>27500</v>
      </c>
      <c r="H93" t="inlineStr">
        <is>
          <t>2027-04-29T22:00:00Z</t>
        </is>
      </c>
      <c r="I93" t="n">
        <v>0.04265</v>
      </c>
      <c r="J93" t="n">
        <v>99.9531272727272</v>
      </c>
      <c r="K93" t="n">
        <v>99.73999999999999</v>
      </c>
      <c r="L93" t="n">
        <v>1.1144</v>
      </c>
      <c r="M93" t="n">
        <v>27935.72</v>
      </c>
      <c r="N93" t="n">
        <v>507.22</v>
      </c>
      <c r="O93" t="n">
        <v>-0.213227218139702</v>
      </c>
      <c r="P93" t="n">
        <v>2.48220955458304</v>
      </c>
      <c r="Q93" t="n">
        <v>0.887152281187269</v>
      </c>
    </row>
    <row r="94">
      <c r="A94" t="inlineStr">
        <is>
          <t>3.75% United States Treasury Notes 30.04.2027 Senior</t>
        </is>
      </c>
      <c r="B94" t="inlineStr">
        <is>
          <t>US91282CMY48</t>
        </is>
      </c>
      <c r="C94" t="inlineStr">
        <is>
          <t>Simon Fiduciaria S.p.A. - POS. FID. 6297</t>
        </is>
      </c>
      <c r="D94" t="n">
        <v>1660666.001</v>
      </c>
      <c r="E94" t="inlineStr">
        <is>
          <t>USD</t>
        </is>
      </c>
      <c r="F94" t="inlineStr">
        <is>
          <t>EUR</t>
        </is>
      </c>
      <c r="G94" t="n">
        <v>35900</v>
      </c>
      <c r="H94" t="inlineStr">
        <is>
          <t>2027-04-29T22:00:00Z</t>
        </is>
      </c>
      <c r="I94" t="n">
        <v>0.04265</v>
      </c>
      <c r="J94" t="n">
        <v>99.9531197771587</v>
      </c>
      <c r="K94" t="n">
        <v>99.73999999999999</v>
      </c>
      <c r="L94" t="n">
        <v>1.1144</v>
      </c>
      <c r="M94" t="n">
        <v>36468.81</v>
      </c>
      <c r="N94" t="n">
        <v>662.15</v>
      </c>
      <c r="O94" t="n">
        <v>-0.213219735045705</v>
      </c>
      <c r="P94" t="n">
        <v>2.48221770000701</v>
      </c>
      <c r="Q94" t="n">
        <v>0.8687052822818579</v>
      </c>
    </row>
    <row r="95">
      <c r="A95" t="inlineStr">
        <is>
          <t>3.75% United States Treasury Notes 30.04.2027 Senior</t>
        </is>
      </c>
      <c r="B95" t="inlineStr">
        <is>
          <t>US91282CMY48</t>
        </is>
      </c>
      <c r="C95" t="inlineStr">
        <is>
          <t>Marchesi, Riccardo</t>
        </is>
      </c>
      <c r="D95" t="n">
        <v>1592866.001</v>
      </c>
      <c r="E95" t="inlineStr">
        <is>
          <t>USD</t>
        </is>
      </c>
      <c r="F95" t="inlineStr">
        <is>
          <t>EUR</t>
        </is>
      </c>
      <c r="G95" t="n">
        <v>12600</v>
      </c>
      <c r="H95" t="inlineStr">
        <is>
          <t>2027-04-29T22:00:00Z</t>
        </is>
      </c>
      <c r="I95" t="n">
        <v>0.04265</v>
      </c>
      <c r="J95" t="n">
        <v>99.9530952380952</v>
      </c>
      <c r="K95" t="n">
        <v>99.73999999999999</v>
      </c>
      <c r="L95" t="n">
        <v>1.1144</v>
      </c>
      <c r="M95" t="n">
        <v>12799.64</v>
      </c>
      <c r="N95" t="n">
        <v>232.4</v>
      </c>
      <c r="O95" t="n">
        <v>-0.213195236813457</v>
      </c>
      <c r="P95" t="n">
        <v>2.48228980647154</v>
      </c>
      <c r="Q95" t="n">
        <v>0.898644680430546</v>
      </c>
    </row>
    <row r="96">
      <c r="A96" t="inlineStr">
        <is>
          <t>3.75% United States Treasury Notes 30.04.2027 Senior</t>
        </is>
      </c>
      <c r="B96" t="inlineStr">
        <is>
          <t>US91282CMY48</t>
        </is>
      </c>
      <c r="C96" t="inlineStr">
        <is>
          <t>Saira Holding S.r.L.</t>
        </is>
      </c>
      <c r="D96" t="n">
        <v>1690341.001</v>
      </c>
      <c r="E96" t="inlineStr">
        <is>
          <t>USD</t>
        </is>
      </c>
      <c r="F96" t="inlineStr">
        <is>
          <t>EUR</t>
        </is>
      </c>
      <c r="G96" t="n">
        <v>1500</v>
      </c>
      <c r="H96" t="inlineStr">
        <is>
          <t>2027-04-29T22:00:00Z</t>
        </is>
      </c>
      <c r="I96" t="n">
        <v>0.04265</v>
      </c>
      <c r="J96" t="n">
        <v>99.9533333333333</v>
      </c>
      <c r="K96" t="n">
        <v>99.73999999999999</v>
      </c>
      <c r="L96" t="n">
        <v>1.1144</v>
      </c>
      <c r="M96" t="n">
        <v>1523.77</v>
      </c>
      <c r="N96" t="n">
        <v>27.67</v>
      </c>
      <c r="O96" t="n">
        <v>-0.213432935369839</v>
      </c>
      <c r="P96" t="n">
        <v>2.48177411351578</v>
      </c>
      <c r="Q96" t="n">
        <v>0.796027344464097</v>
      </c>
    </row>
    <row r="97">
      <c r="A97" t="inlineStr">
        <is>
          <t>3.75% United States Treasury Notes 30.04.2027 Senior</t>
        </is>
      </c>
      <c r="B97" t="inlineStr">
        <is>
          <t>US91282CMY48</t>
        </is>
      </c>
      <c r="C97" t="inlineStr">
        <is>
          <t>Minardi, Mario Paolo</t>
        </is>
      </c>
      <c r="D97" t="n">
        <v>1650579.001</v>
      </c>
      <c r="E97" t="inlineStr">
        <is>
          <t>USD</t>
        </is>
      </c>
      <c r="F97" t="inlineStr">
        <is>
          <t>EUR</t>
        </is>
      </c>
      <c r="G97" t="n">
        <v>5500</v>
      </c>
      <c r="H97" t="inlineStr">
        <is>
          <t>2027-04-29T22:00:00Z</t>
        </is>
      </c>
      <c r="I97" t="n">
        <v>0.04265</v>
      </c>
      <c r="J97" t="n">
        <v>99.9530909090909</v>
      </c>
      <c r="K97" t="n">
        <v>99.73999999999999</v>
      </c>
      <c r="L97" t="n">
        <v>1.1144</v>
      </c>
      <c r="M97" t="n">
        <v>5587.14</v>
      </c>
      <c r="N97" t="n">
        <v>101.44</v>
      </c>
      <c r="O97" t="n">
        <v>-0.213190915011041</v>
      </c>
      <c r="P97" t="n">
        <v>2.48212627572796</v>
      </c>
      <c r="Q97" t="n">
        <v>0.8904193539512399</v>
      </c>
    </row>
    <row r="98">
      <c r="A98" t="inlineStr">
        <is>
          <t>3.75% United States Treasury Notes 30.04.2027 Senior</t>
        </is>
      </c>
      <c r="B98" t="inlineStr">
        <is>
          <t>US91282CMY48</t>
        </is>
      </c>
      <c r="C98" t="inlineStr">
        <is>
          <t>Cariboni, Elisa</t>
        </is>
      </c>
      <c r="D98" t="n">
        <v>1600379.001</v>
      </c>
      <c r="E98" t="inlineStr">
        <is>
          <t>USD</t>
        </is>
      </c>
      <c r="F98" t="inlineStr">
        <is>
          <t>EUR</t>
        </is>
      </c>
      <c r="G98" t="n">
        <v>12700</v>
      </c>
      <c r="H98" t="inlineStr">
        <is>
          <t>2027-04-29T22:00:00Z</t>
        </is>
      </c>
      <c r="I98" t="n">
        <v>0.04265</v>
      </c>
      <c r="J98" t="n">
        <v>99.95314960629921</v>
      </c>
      <c r="K98" t="n">
        <v>99.73999999999999</v>
      </c>
      <c r="L98" t="n">
        <v>1.1144</v>
      </c>
      <c r="M98" t="n">
        <v>12901.22</v>
      </c>
      <c r="N98" t="n">
        <v>234.24</v>
      </c>
      <c r="O98" t="n">
        <v>-0.213249514536337</v>
      </c>
      <c r="P98" t="n">
        <v>2.48212722333374</v>
      </c>
      <c r="Q98" t="n">
        <v>0.90130547153104</v>
      </c>
    </row>
    <row r="99">
      <c r="A99" t="inlineStr">
        <is>
          <t>3.75% United States Treasury Notes 30.04.2027 Senior</t>
        </is>
      </c>
      <c r="B99" t="inlineStr">
        <is>
          <t>US91282CMY48</t>
        </is>
      </c>
      <c r="C99" t="inlineStr">
        <is>
          <t>Alemagna, Tancredi Luigi</t>
        </is>
      </c>
      <c r="D99" t="n">
        <v>1619782.001</v>
      </c>
      <c r="E99" t="inlineStr">
        <is>
          <t>USD</t>
        </is>
      </c>
      <c r="F99" t="inlineStr">
        <is>
          <t>EUR</t>
        </is>
      </c>
      <c r="G99" t="n">
        <v>27300</v>
      </c>
      <c r="H99" t="inlineStr">
        <is>
          <t>2027-04-29T22:00:00Z</t>
        </is>
      </c>
      <c r="I99" t="n">
        <v>0.04265</v>
      </c>
      <c r="J99" t="n">
        <v>99.9531135531135</v>
      </c>
      <c r="K99" t="n">
        <v>99.73999999999999</v>
      </c>
      <c r="L99" t="n">
        <v>1.1144</v>
      </c>
      <c r="M99" t="n">
        <v>27732.55</v>
      </c>
      <c r="N99" t="n">
        <v>503.53</v>
      </c>
      <c r="O99" t="n">
        <v>-0.213213521357999</v>
      </c>
      <c r="P99" t="n">
        <v>2.48223335988419</v>
      </c>
      <c r="Q99" t="n">
        <v>0.952131536351293</v>
      </c>
    </row>
    <row r="100">
      <c r="A100" t="inlineStr">
        <is>
          <t>3.75% United States Treasury Notes 30.04.2027 Senior</t>
        </is>
      </c>
      <c r="B100" t="inlineStr">
        <is>
          <t>US91282CMY48</t>
        </is>
      </c>
      <c r="C100" t="inlineStr">
        <is>
          <t>Simon Fiduciaria S.p.A. - POS. FID. 6297</t>
        </is>
      </c>
      <c r="D100" t="n">
        <v>1660666.003</v>
      </c>
      <c r="E100" t="inlineStr">
        <is>
          <t>USD</t>
        </is>
      </c>
      <c r="F100" t="inlineStr">
        <is>
          <t>EUR</t>
        </is>
      </c>
      <c r="G100" t="n">
        <v>26300</v>
      </c>
      <c r="H100" t="inlineStr">
        <is>
          <t>2027-04-29T22:00:00Z</t>
        </is>
      </c>
      <c r="I100" t="n">
        <v>0.04265</v>
      </c>
      <c r="J100" t="n">
        <v>99.95311787072239</v>
      </c>
      <c r="K100" t="n">
        <v>99.73999999999999</v>
      </c>
      <c r="L100" t="n">
        <v>1.1144</v>
      </c>
      <c r="M100" t="n">
        <v>26716.7</v>
      </c>
      <c r="N100" t="n">
        <v>485.08</v>
      </c>
      <c r="O100" t="n">
        <v>-0.213217831781972</v>
      </c>
      <c r="P100" t="n">
        <v>2.48222071479388</v>
      </c>
      <c r="Q100" t="n">
        <v>0.896830182996623</v>
      </c>
    </row>
    <row r="101">
      <c r="A101" t="inlineStr">
        <is>
          <t>3.75% United States Treasury Notes 30.04.2027 Senior</t>
        </is>
      </c>
      <c r="B101" t="inlineStr">
        <is>
          <t>US91282CMY48</t>
        </is>
      </c>
      <c r="C101" t="inlineStr">
        <is>
          <t>Ancona, Giselda</t>
        </is>
      </c>
      <c r="D101" t="n">
        <v>1648638.001</v>
      </c>
      <c r="E101" t="inlineStr">
        <is>
          <t>USD</t>
        </is>
      </c>
      <c r="F101" t="inlineStr">
        <is>
          <t>EUR</t>
        </is>
      </c>
      <c r="G101" t="n">
        <v>9800</v>
      </c>
      <c r="H101" t="inlineStr">
        <is>
          <t>2027-04-29T22:00:00Z</t>
        </is>
      </c>
      <c r="I101" t="n">
        <v>0.04265</v>
      </c>
      <c r="J101" t="n">
        <v>99.9531632653061</v>
      </c>
      <c r="K101" t="n">
        <v>99.73999999999999</v>
      </c>
      <c r="L101" t="n">
        <v>1.1144</v>
      </c>
      <c r="M101" t="n">
        <v>9955.27</v>
      </c>
      <c r="N101" t="n">
        <v>180.75</v>
      </c>
      <c r="O101" t="n">
        <v>-0.213263150802263</v>
      </c>
      <c r="P101" t="n">
        <v>2.482262874022</v>
      </c>
      <c r="Q101" t="n">
        <v>0.920764622147182</v>
      </c>
    </row>
    <row r="102">
      <c r="A102" t="inlineStr">
        <is>
          <t>3.75% United States Treasury Notes 30.04.2027 Senior</t>
        </is>
      </c>
      <c r="B102" t="inlineStr">
        <is>
          <t>US91282CMY48</t>
        </is>
      </c>
      <c r="C102" t="inlineStr">
        <is>
          <t>Galli, Federico</t>
        </is>
      </c>
      <c r="D102" t="n">
        <v>1621661.001</v>
      </c>
      <c r="E102" t="inlineStr">
        <is>
          <t>USD</t>
        </is>
      </c>
      <c r="F102" t="inlineStr">
        <is>
          <t>EUR</t>
        </is>
      </c>
      <c r="G102" t="n">
        <v>5200</v>
      </c>
      <c r="H102" t="inlineStr">
        <is>
          <t>2027-04-29T22:00:00Z</t>
        </is>
      </c>
      <c r="I102" t="n">
        <v>0.04265</v>
      </c>
      <c r="J102" t="n">
        <v>99.95307692307691</v>
      </c>
      <c r="K102" t="n">
        <v>99.73999999999999</v>
      </c>
      <c r="L102" t="n">
        <v>1.1144</v>
      </c>
      <c r="M102" t="n">
        <v>5282.39</v>
      </c>
      <c r="N102" t="n">
        <v>95.91</v>
      </c>
      <c r="O102" t="n">
        <v>-0.213176952262215</v>
      </c>
      <c r="P102" t="n">
        <v>2.4821906345309</v>
      </c>
      <c r="Q102" t="n">
        <v>0.861766126673128</v>
      </c>
    </row>
    <row r="103">
      <c r="A103" t="inlineStr">
        <is>
          <t>3.75% United States Treasury Notes 30.04.2027 Senior</t>
        </is>
      </c>
      <c r="B103" t="inlineStr">
        <is>
          <t>US91282CMY48</t>
        </is>
      </c>
      <c r="C103" t="inlineStr">
        <is>
          <t>Laruffa, Serena</t>
        </is>
      </c>
      <c r="D103" t="n">
        <v>1596193.001</v>
      </c>
      <c r="E103" t="inlineStr">
        <is>
          <t>USD</t>
        </is>
      </c>
      <c r="F103" t="inlineStr">
        <is>
          <t>EUR</t>
        </is>
      </c>
      <c r="G103" t="n">
        <v>18200</v>
      </c>
      <c r="H103" t="inlineStr">
        <is>
          <t>2027-04-29T22:00:00Z</t>
        </is>
      </c>
      <c r="I103" t="n">
        <v>0.04265</v>
      </c>
      <c r="J103" t="n">
        <v>99.95313186813181</v>
      </c>
      <c r="K103" t="n">
        <v>99.73999999999999</v>
      </c>
      <c r="L103" t="n">
        <v>1.1144</v>
      </c>
      <c r="M103" t="n">
        <v>18488.37</v>
      </c>
      <c r="N103" t="n">
        <v>335.69</v>
      </c>
      <c r="O103" t="n">
        <v>-0.21323180589584</v>
      </c>
      <c r="P103" t="n">
        <v>2.48218985367461</v>
      </c>
      <c r="Q103" t="n">
        <v>0.544708867510169</v>
      </c>
    </row>
    <row r="104">
      <c r="A104" t="inlineStr">
        <is>
          <t>3.75% United States Treasury Notes 30.04.2027 Senior</t>
        </is>
      </c>
      <c r="B104" t="inlineStr">
        <is>
          <t>US91282CMY48</t>
        </is>
      </c>
      <c r="C104" t="inlineStr">
        <is>
          <t>Laruffa, Alessia</t>
        </is>
      </c>
      <c r="D104" t="n">
        <v>1596151.001</v>
      </c>
      <c r="E104" t="inlineStr">
        <is>
          <t>USD</t>
        </is>
      </c>
      <c r="F104" t="inlineStr">
        <is>
          <t>EUR</t>
        </is>
      </c>
      <c r="G104" t="n">
        <v>6500</v>
      </c>
      <c r="H104" t="inlineStr">
        <is>
          <t>2027-04-29T22:00:00Z</t>
        </is>
      </c>
      <c r="I104" t="n">
        <v>0.04265</v>
      </c>
      <c r="J104" t="n">
        <v>99.95307692307691</v>
      </c>
      <c r="K104" t="n">
        <v>99.73999999999999</v>
      </c>
      <c r="L104" t="n">
        <v>1.1144</v>
      </c>
      <c r="M104" t="n">
        <v>6602.99</v>
      </c>
      <c r="N104" t="n">
        <v>119.89</v>
      </c>
      <c r="O104" t="n">
        <v>-0.213176952262215</v>
      </c>
      <c r="P104" t="n">
        <v>2.48218954133224</v>
      </c>
      <c r="Q104" t="n">
        <v>0.254840797492398</v>
      </c>
    </row>
    <row r="105">
      <c r="A105" t="inlineStr">
        <is>
          <t>3.75% United States Treasury Notes 30.04.2028 Senior</t>
        </is>
      </c>
      <c r="B105" t="inlineStr">
        <is>
          <t>US91282CQL80</t>
        </is>
      </c>
      <c r="C105" t="inlineStr">
        <is>
          <t>Lettieri, Umberto</t>
        </is>
      </c>
      <c r="D105" t="n">
        <v>1710712.001</v>
      </c>
      <c r="E105" t="inlineStr">
        <is>
          <t>USD</t>
        </is>
      </c>
      <c r="F105" t="inlineStr">
        <is>
          <t>USD</t>
        </is>
      </c>
      <c r="G105" t="n">
        <v>29000</v>
      </c>
      <c r="H105" t="inlineStr">
        <is>
          <t>2028-04-29T22:00:00Z</t>
        </is>
      </c>
      <c r="I105" t="n">
        <v>0.04659</v>
      </c>
      <c r="J105" t="n">
        <v>99.41017241379311</v>
      </c>
      <c r="K105" t="n">
        <v>98.66</v>
      </c>
      <c r="L105" t="n">
        <v>1</v>
      </c>
      <c r="M105" t="n">
        <v>29146.28</v>
      </c>
      <c r="N105" t="n">
        <v>534.88</v>
      </c>
      <c r="O105" t="n">
        <v>-0.75462339072356</v>
      </c>
      <c r="P105" t="n">
        <v>-0.75462339072356</v>
      </c>
      <c r="Q105" t="n">
        <v>2.02289599772907</v>
      </c>
    </row>
    <row r="106">
      <c r="A106" t="inlineStr">
        <is>
          <t>3.75% United States Treasury Notes 31.08.2031 Senior</t>
        </is>
      </c>
      <c r="B106" t="inlineStr">
        <is>
          <t>US91282CLJ89</t>
        </is>
      </c>
      <c r="C106" t="inlineStr">
        <is>
          <t>Petrassi, Raffaele</t>
        </is>
      </c>
      <c r="D106" t="n">
        <v>1656189.001</v>
      </c>
      <c r="E106" t="inlineStr">
        <is>
          <t>USD</t>
        </is>
      </c>
      <c r="F106" t="inlineStr">
        <is>
          <t>EUR</t>
        </is>
      </c>
      <c r="G106" t="n">
        <v>11200</v>
      </c>
      <c r="H106" t="inlineStr">
        <is>
          <t>2031-08-30T22:00:00Z</t>
        </is>
      </c>
      <c r="I106" t="n">
        <v>0.04846</v>
      </c>
      <c r="J106" t="n">
        <v>99.3836607142857</v>
      </c>
      <c r="K106" t="n">
        <v>95.3</v>
      </c>
      <c r="L106" t="n">
        <v>1.1144</v>
      </c>
      <c r="M106" t="n">
        <v>10743.22</v>
      </c>
      <c r="N106" t="n">
        <v>69.62</v>
      </c>
      <c r="O106" t="n">
        <v>-4.10898600930556</v>
      </c>
      <c r="P106" t="n">
        <v>0.153825239469611</v>
      </c>
      <c r="Q106" t="n">
        <v>3.0644035977953</v>
      </c>
    </row>
    <row r="107">
      <c r="A107" t="inlineStr">
        <is>
          <t>3.75% United States Treasury Notes 31.08.2031 Senior</t>
        </is>
      </c>
      <c r="B107" t="inlineStr">
        <is>
          <t>US91282CLJ89</t>
        </is>
      </c>
      <c r="C107" t="inlineStr">
        <is>
          <t>Laruffa, Sergio</t>
        </is>
      </c>
      <c r="D107" t="n">
        <v>1591822.001</v>
      </c>
      <c r="E107" t="inlineStr">
        <is>
          <t>USD</t>
        </is>
      </c>
      <c r="F107" t="inlineStr">
        <is>
          <t>USD</t>
        </is>
      </c>
      <c r="G107" t="n">
        <v>160500</v>
      </c>
      <c r="H107" t="inlineStr">
        <is>
          <t>2031-08-30T22:00:00Z</t>
        </is>
      </c>
      <c r="I107" t="n">
        <v>0.04846</v>
      </c>
      <c r="J107" t="n">
        <v>99.4466168224299</v>
      </c>
      <c r="K107" t="n">
        <v>95.3</v>
      </c>
      <c r="L107" t="n">
        <v>1</v>
      </c>
      <c r="M107" t="n">
        <v>153954.17</v>
      </c>
      <c r="N107" t="n">
        <v>997.67</v>
      </c>
      <c r="O107" t="n">
        <v>-4.16969119204329</v>
      </c>
      <c r="P107" t="n">
        <v>-4.16969119204329</v>
      </c>
      <c r="Q107" t="n">
        <v>3.14313834032005</v>
      </c>
    </row>
    <row r="108">
      <c r="A108" t="inlineStr">
        <is>
          <t>3.75% United States Treasury Notes 31.08.2031 Senior</t>
        </is>
      </c>
      <c r="B108" t="inlineStr">
        <is>
          <t>US91282CLJ89</t>
        </is>
      </c>
      <c r="C108" t="inlineStr">
        <is>
          <t>Bucchioni, Fabio</t>
        </is>
      </c>
      <c r="D108" t="n">
        <v>1592092.001</v>
      </c>
      <c r="E108" t="inlineStr">
        <is>
          <t>USD</t>
        </is>
      </c>
      <c r="F108" t="inlineStr">
        <is>
          <t>EUR</t>
        </is>
      </c>
      <c r="G108" t="n">
        <v>17700</v>
      </c>
      <c r="H108" t="inlineStr">
        <is>
          <t>2031-08-30T22:00:00Z</t>
        </is>
      </c>
      <c r="I108" t="n">
        <v>0.04846</v>
      </c>
      <c r="J108" t="n">
        <v>99.3853672316384</v>
      </c>
      <c r="K108" t="n">
        <v>95.3</v>
      </c>
      <c r="L108" t="n">
        <v>1.1144</v>
      </c>
      <c r="M108" t="n">
        <v>16978.12</v>
      </c>
      <c r="N108" t="n">
        <v>110.02</v>
      </c>
      <c r="O108" t="n">
        <v>-4.11063252613094</v>
      </c>
      <c r="P108" t="n">
        <v>0.152055528720497</v>
      </c>
      <c r="Q108" t="n">
        <v>3.09064590190387</v>
      </c>
    </row>
    <row r="109">
      <c r="A109" t="inlineStr">
        <is>
          <t>3.75% United States Treasury Notes 31.08.2031 Senior</t>
        </is>
      </c>
      <c r="B109" t="inlineStr">
        <is>
          <t>US91282CLJ89</t>
        </is>
      </c>
      <c r="C109" t="inlineStr">
        <is>
          <t>Alemagna, Alberto Pietro</t>
        </is>
      </c>
      <c r="D109" t="n">
        <v>1627998.001</v>
      </c>
      <c r="E109" t="inlineStr">
        <is>
          <t>USD</t>
        </is>
      </c>
      <c r="F109" t="inlineStr">
        <is>
          <t>EUR</t>
        </is>
      </c>
      <c r="G109" t="n">
        <v>100300</v>
      </c>
      <c r="H109" t="inlineStr">
        <is>
          <t>2031-08-30T22:00:00Z</t>
        </is>
      </c>
      <c r="I109" t="n">
        <v>0.04846</v>
      </c>
      <c r="J109" t="n">
        <v>99.3852143569292</v>
      </c>
      <c r="K109" t="n">
        <v>95.3</v>
      </c>
      <c r="L109" t="n">
        <v>1.1144</v>
      </c>
      <c r="M109" t="n">
        <v>96209.37</v>
      </c>
      <c r="N109" t="n">
        <v>623.47</v>
      </c>
      <c r="O109" t="n">
        <v>-4.11048502874652</v>
      </c>
      <c r="P109" t="n">
        <v>0.152265990001589</v>
      </c>
      <c r="Q109" t="n">
        <v>3.05531261286842</v>
      </c>
    </row>
    <row r="110">
      <c r="A110" t="inlineStr">
        <is>
          <t>3.75% United States Treasury Notes 31.08.2031 Senior</t>
        </is>
      </c>
      <c r="B110" t="inlineStr">
        <is>
          <t>US91282CLJ89</t>
        </is>
      </c>
      <c r="C110" t="inlineStr">
        <is>
          <t>Simon Fiduciaria S.p.A. - POS. FID. 6297</t>
        </is>
      </c>
      <c r="D110" t="n">
        <v>1660666.001</v>
      </c>
      <c r="E110" t="inlineStr">
        <is>
          <t>USD</t>
        </is>
      </c>
      <c r="F110" t="inlineStr">
        <is>
          <t>EUR</t>
        </is>
      </c>
      <c r="G110" t="n">
        <v>131500</v>
      </c>
      <c r="H110" t="inlineStr">
        <is>
          <t>2031-08-30T22:00:00Z</t>
        </is>
      </c>
      <c r="I110" t="n">
        <v>0.04846</v>
      </c>
      <c r="J110" t="n">
        <v>99.3852623574144</v>
      </c>
      <c r="K110" t="n">
        <v>95.3</v>
      </c>
      <c r="L110" t="n">
        <v>1.1144</v>
      </c>
      <c r="M110" t="n">
        <v>126136.91</v>
      </c>
      <c r="N110" t="n">
        <v>817.41</v>
      </c>
      <c r="O110" t="n">
        <v>-4.11053134087709</v>
      </c>
      <c r="P110" t="n">
        <v>0.152227539023447</v>
      </c>
      <c r="Q110" t="n">
        <v>3.00464435273023</v>
      </c>
    </row>
    <row r="111">
      <c r="A111" t="inlineStr">
        <is>
          <t>3.75% United States Treasury Notes 31.08.2031 Senior</t>
        </is>
      </c>
      <c r="B111" t="inlineStr">
        <is>
          <t>US91282CLJ89</t>
        </is>
      </c>
      <c r="C111" t="inlineStr">
        <is>
          <t>Marchesi, Riccardo</t>
        </is>
      </c>
      <c r="D111" t="n">
        <v>1592866.001</v>
      </c>
      <c r="E111" t="inlineStr">
        <is>
          <t>USD</t>
        </is>
      </c>
      <c r="F111" t="inlineStr">
        <is>
          <t>EUR</t>
        </is>
      </c>
      <c r="G111" t="n">
        <v>45700</v>
      </c>
      <c r="H111" t="inlineStr">
        <is>
          <t>2031-08-30T22:00:00Z</t>
        </is>
      </c>
      <c r="I111" t="n">
        <v>0.04846</v>
      </c>
      <c r="J111" t="n">
        <v>99.38498905908089</v>
      </c>
      <c r="K111" t="n">
        <v>95.3</v>
      </c>
      <c r="L111" t="n">
        <v>1.1144</v>
      </c>
      <c r="M111" t="n">
        <v>43836.17</v>
      </c>
      <c r="N111" t="n">
        <v>284.07</v>
      </c>
      <c r="O111" t="n">
        <v>-4.1102676548594</v>
      </c>
      <c r="P111" t="n">
        <v>0.152510946267505</v>
      </c>
      <c r="Q111" t="n">
        <v>3.07767662274437</v>
      </c>
    </row>
    <row r="112">
      <c r="A112" t="inlineStr">
        <is>
          <t>3.75% United States Treasury Notes 31.08.2031 Senior</t>
        </is>
      </c>
      <c r="B112" t="inlineStr">
        <is>
          <t>US91282CLJ89</t>
        </is>
      </c>
      <c r="C112" t="inlineStr">
        <is>
          <t>Saira Holding S.r.L.</t>
        </is>
      </c>
      <c r="D112" t="n">
        <v>1690341.001</v>
      </c>
      <c r="E112" t="inlineStr">
        <is>
          <t>USD</t>
        </is>
      </c>
      <c r="F112" t="inlineStr">
        <is>
          <t>EUR</t>
        </is>
      </c>
      <c r="G112" t="n">
        <v>6100</v>
      </c>
      <c r="H112" t="inlineStr">
        <is>
          <t>2031-08-30T22:00:00Z</t>
        </is>
      </c>
      <c r="I112" t="n">
        <v>0.04846</v>
      </c>
      <c r="J112" t="n">
        <v>99.3821311475409</v>
      </c>
      <c r="K112" t="n">
        <v>95.3</v>
      </c>
      <c r="L112" t="n">
        <v>1.1144</v>
      </c>
      <c r="M112" t="n">
        <v>5851.22</v>
      </c>
      <c r="N112" t="n">
        <v>37.92</v>
      </c>
      <c r="O112" t="n">
        <v>-4.10751017351471</v>
      </c>
      <c r="P112" t="n">
        <v>0.155331081768662</v>
      </c>
      <c r="Q112" t="n">
        <v>3.05671961910572</v>
      </c>
    </row>
    <row r="113">
      <c r="A113" t="inlineStr">
        <is>
          <t>3.75% United States Treasury Notes 31.08.2031 Senior</t>
        </is>
      </c>
      <c r="B113" t="inlineStr">
        <is>
          <t>US91282CLJ89</t>
        </is>
      </c>
      <c r="C113" t="inlineStr">
        <is>
          <t>Minardi, Mario Paolo</t>
        </is>
      </c>
      <c r="D113" t="n">
        <v>1650579.001</v>
      </c>
      <c r="E113" t="inlineStr">
        <is>
          <t>USD</t>
        </is>
      </c>
      <c r="F113" t="inlineStr">
        <is>
          <t>EUR</t>
        </is>
      </c>
      <c r="G113" t="n">
        <v>20100</v>
      </c>
      <c r="H113" t="inlineStr">
        <is>
          <t>2031-08-30T22:00:00Z</t>
        </is>
      </c>
      <c r="I113" t="n">
        <v>0.04846</v>
      </c>
      <c r="J113" t="n">
        <v>99.3854228855721</v>
      </c>
      <c r="K113" t="n">
        <v>95.3</v>
      </c>
      <c r="L113" t="n">
        <v>1.1144</v>
      </c>
      <c r="M113" t="n">
        <v>19280.24</v>
      </c>
      <c r="N113" t="n">
        <v>124.94</v>
      </c>
      <c r="O113" t="n">
        <v>-4.11068622234058</v>
      </c>
      <c r="P113" t="n">
        <v>0.152079202382457</v>
      </c>
      <c r="Q113" t="n">
        <v>3.07268544525843</v>
      </c>
    </row>
    <row r="114">
      <c r="A114" t="inlineStr">
        <is>
          <t>3.75% United States Treasury Notes 31.08.2031 Senior</t>
        </is>
      </c>
      <c r="B114" t="inlineStr">
        <is>
          <t>US91282CLJ89</t>
        </is>
      </c>
      <c r="C114" t="inlineStr">
        <is>
          <t>Cariboni, Elisa</t>
        </is>
      </c>
      <c r="D114" t="n">
        <v>1600379.001</v>
      </c>
      <c r="E114" t="inlineStr">
        <is>
          <t>USD</t>
        </is>
      </c>
      <c r="F114" t="inlineStr">
        <is>
          <t>EUR</t>
        </is>
      </c>
      <c r="G114" t="n">
        <v>46000</v>
      </c>
      <c r="H114" t="inlineStr">
        <is>
          <t>2031-08-30T22:00:00Z</t>
        </is>
      </c>
      <c r="I114" t="n">
        <v>0.04846</v>
      </c>
      <c r="J114" t="n">
        <v>99.3849782608695</v>
      </c>
      <c r="K114" t="n">
        <v>95.3</v>
      </c>
      <c r="L114" t="n">
        <v>1.1144</v>
      </c>
      <c r="M114" t="n">
        <v>44123.94</v>
      </c>
      <c r="N114" t="n">
        <v>285.94</v>
      </c>
      <c r="O114" t="n">
        <v>-4.11025723640765</v>
      </c>
      <c r="P114" t="n">
        <v>0.152509274040579</v>
      </c>
      <c r="Q114" t="n">
        <v>3.08258886396381</v>
      </c>
    </row>
    <row r="115">
      <c r="A115" t="inlineStr">
        <is>
          <t>3.75% United States Treasury Notes 31.08.2031 Senior</t>
        </is>
      </c>
      <c r="B115" t="inlineStr">
        <is>
          <t>US91282CLJ89</t>
        </is>
      </c>
      <c r="C115" t="inlineStr">
        <is>
          <t>Alemagna, Tancredi Luigi</t>
        </is>
      </c>
      <c r="D115" t="n">
        <v>1619782.001</v>
      </c>
      <c r="E115" t="inlineStr">
        <is>
          <t>USD</t>
        </is>
      </c>
      <c r="F115" t="inlineStr">
        <is>
          <t>EUR</t>
        </is>
      </c>
      <c r="G115" t="n">
        <v>99200</v>
      </c>
      <c r="H115" t="inlineStr">
        <is>
          <t>2031-08-30T22:00:00Z</t>
        </is>
      </c>
      <c r="I115" t="n">
        <v>0.04846</v>
      </c>
      <c r="J115" t="n">
        <v>99.3850100806451</v>
      </c>
      <c r="K115" t="n">
        <v>95.3</v>
      </c>
      <c r="L115" t="n">
        <v>1.1144</v>
      </c>
      <c r="M115" t="n">
        <v>95154.23</v>
      </c>
      <c r="N115" t="n">
        <v>616.63</v>
      </c>
      <c r="O115" t="n">
        <v>-4.11028793711487</v>
      </c>
      <c r="P115" t="n">
        <v>0.152478960795964</v>
      </c>
      <c r="Q115" t="n">
        <v>3.26689607584741</v>
      </c>
    </row>
    <row r="116">
      <c r="A116" t="inlineStr">
        <is>
          <t>3.75% United States Treasury Notes 31.08.2031 Senior</t>
        </is>
      </c>
      <c r="B116" t="inlineStr">
        <is>
          <t>US91282CLJ89</t>
        </is>
      </c>
      <c r="C116" t="inlineStr">
        <is>
          <t>Terenzi, Federico</t>
        </is>
      </c>
      <c r="D116" t="n">
        <v>1620379.001</v>
      </c>
      <c r="E116" t="inlineStr">
        <is>
          <t>USD</t>
        </is>
      </c>
      <c r="F116" t="inlineStr">
        <is>
          <t>EUR</t>
        </is>
      </c>
      <c r="G116" t="n">
        <v>5600</v>
      </c>
      <c r="H116" t="inlineStr">
        <is>
          <t>2031-08-30T22:00:00Z</t>
        </is>
      </c>
      <c r="I116" t="n">
        <v>0.04846</v>
      </c>
      <c r="J116" t="n">
        <v>99.37821428571419</v>
      </c>
      <c r="K116" t="n">
        <v>95.3</v>
      </c>
      <c r="L116" t="n">
        <v>1.1144</v>
      </c>
      <c r="M116" t="n">
        <v>5371.61</v>
      </c>
      <c r="N116" t="n">
        <v>34.81</v>
      </c>
      <c r="O116" t="n">
        <v>-4.10373069694062</v>
      </c>
      <c r="P116" t="n">
        <v>0.159376549058486</v>
      </c>
      <c r="Q116" t="n">
        <v>3.94905220502177</v>
      </c>
    </row>
    <row r="117">
      <c r="A117" t="inlineStr">
        <is>
          <t>3.75% United States Treasury Notes 31.08.2031 Senior</t>
        </is>
      </c>
      <c r="B117" t="inlineStr">
        <is>
          <t>US91282CLJ89</t>
        </is>
      </c>
      <c r="C117" t="inlineStr">
        <is>
          <t>Simon Fiduciaria S.p.A. - POS. FID. 6297</t>
        </is>
      </c>
      <c r="D117" t="n">
        <v>1660666.003</v>
      </c>
      <c r="E117" t="inlineStr">
        <is>
          <t>USD</t>
        </is>
      </c>
      <c r="F117" t="inlineStr">
        <is>
          <t>EUR</t>
        </is>
      </c>
      <c r="G117" t="n">
        <v>96600</v>
      </c>
      <c r="H117" t="inlineStr">
        <is>
          <t>2031-08-30T22:00:00Z</t>
        </is>
      </c>
      <c r="I117" t="n">
        <v>0.04846</v>
      </c>
      <c r="J117" t="n">
        <v>99.3854140786749</v>
      </c>
      <c r="K117" t="n">
        <v>95.3</v>
      </c>
      <c r="L117" t="n">
        <v>1.1144</v>
      </c>
      <c r="M117" t="n">
        <v>92660.27</v>
      </c>
      <c r="N117" t="n">
        <v>600.47</v>
      </c>
      <c r="O117" t="n">
        <v>-4.11067772524535</v>
      </c>
      <c r="P117" t="n">
        <v>0.152072160501296</v>
      </c>
      <c r="Q117" t="n">
        <v>3.1104330239794</v>
      </c>
    </row>
    <row r="118">
      <c r="A118" t="inlineStr">
        <is>
          <t>3.75% United States Treasury Notes 31.08.2031 Senior</t>
        </is>
      </c>
      <c r="B118" t="inlineStr">
        <is>
          <t>US91282CLJ89</t>
        </is>
      </c>
      <c r="C118" t="inlineStr">
        <is>
          <t>Fariniundici S.p.A.</t>
        </is>
      </c>
      <c r="D118" t="n">
        <v>1644446.001</v>
      </c>
      <c r="E118" t="inlineStr">
        <is>
          <t>USD</t>
        </is>
      </c>
      <c r="F118" t="inlineStr">
        <is>
          <t>EUR</t>
        </is>
      </c>
      <c r="G118" t="n">
        <v>337800</v>
      </c>
      <c r="H118" t="inlineStr">
        <is>
          <t>2031-08-30T22:00:00Z</t>
        </is>
      </c>
      <c r="I118" t="n">
        <v>0.04846</v>
      </c>
      <c r="J118" t="n">
        <v>99.7228863232682</v>
      </c>
      <c r="K118" t="n">
        <v>95.3</v>
      </c>
      <c r="L118" t="n">
        <v>1.1144</v>
      </c>
      <c r="M118" t="n">
        <v>324023.18</v>
      </c>
      <c r="N118" t="n">
        <v>2099.78</v>
      </c>
      <c r="O118" t="n">
        <v>-4.43517680478149</v>
      </c>
      <c r="P118" t="n">
        <v>0.409665470281047</v>
      </c>
      <c r="Q118" t="n">
        <v>2.67008353601068</v>
      </c>
    </row>
    <row r="119">
      <c r="A119" t="inlineStr">
        <is>
          <t>3.75% United States Treasury Notes 31.08.2031 Senior</t>
        </is>
      </c>
      <c r="B119" t="inlineStr">
        <is>
          <t>US91282CLJ89</t>
        </is>
      </c>
      <c r="C119" t="inlineStr">
        <is>
          <t>Bertini, Marco</t>
        </is>
      </c>
      <c r="D119" t="n">
        <v>112029.001</v>
      </c>
      <c r="E119" t="inlineStr">
        <is>
          <t>USD</t>
        </is>
      </c>
      <c r="F119" t="inlineStr">
        <is>
          <t>USD</t>
        </is>
      </c>
      <c r="G119" t="n">
        <v>52500</v>
      </c>
      <c r="H119" t="inlineStr">
        <is>
          <t>2031-08-30T22:00:00Z</t>
        </is>
      </c>
      <c r="I119" t="n">
        <v>0.04846</v>
      </c>
      <c r="J119" t="n">
        <v>99.4257904761904</v>
      </c>
      <c r="K119" t="n">
        <v>95.3</v>
      </c>
      <c r="L119" t="n">
        <v>1</v>
      </c>
      <c r="M119" t="n">
        <v>50358.84</v>
      </c>
      <c r="N119" t="n">
        <v>326.34</v>
      </c>
      <c r="O119" t="n">
        <v>-4.14961797782083</v>
      </c>
      <c r="P119" t="n">
        <v>-4.14961797782083</v>
      </c>
      <c r="Q119" t="n">
        <v>3.25797682341197</v>
      </c>
    </row>
    <row r="120">
      <c r="A120" t="inlineStr">
        <is>
          <t>3.75% United States Treasury Notes 31.08.2031 Senior</t>
        </is>
      </c>
      <c r="B120" t="inlineStr">
        <is>
          <t>US91282CLJ89</t>
        </is>
      </c>
      <c r="C120" t="inlineStr">
        <is>
          <t>Ancona, Giselda</t>
        </is>
      </c>
      <c r="D120" t="n">
        <v>1648638.001</v>
      </c>
      <c r="E120" t="inlineStr">
        <is>
          <t>USD</t>
        </is>
      </c>
      <c r="F120" t="inlineStr">
        <is>
          <t>EUR</t>
        </is>
      </c>
      <c r="G120" t="n">
        <v>35500</v>
      </c>
      <c r="H120" t="inlineStr">
        <is>
          <t>2031-08-30T22:00:00Z</t>
        </is>
      </c>
      <c r="I120" t="n">
        <v>0.04846</v>
      </c>
      <c r="J120" t="n">
        <v>99.3848450704225</v>
      </c>
      <c r="K120" t="n">
        <v>95.3</v>
      </c>
      <c r="L120" t="n">
        <v>1.1144</v>
      </c>
      <c r="M120" t="n">
        <v>34052.17</v>
      </c>
      <c r="N120" t="n">
        <v>220.67</v>
      </c>
      <c r="O120" t="n">
        <v>-4.11012872991659</v>
      </c>
      <c r="P120" t="n">
        <v>0.152650802464187</v>
      </c>
      <c r="Q120" t="n">
        <v>3.14948925623087</v>
      </c>
    </row>
    <row r="121">
      <c r="A121" t="inlineStr">
        <is>
          <t>3.75% United States Treasury Notes 31.08.2031 Senior</t>
        </is>
      </c>
      <c r="B121" t="inlineStr">
        <is>
          <t>US91282CLJ89</t>
        </is>
      </c>
      <c r="C121" t="inlineStr">
        <is>
          <t>Virlinzi, Francesco</t>
        </is>
      </c>
      <c r="D121" t="n">
        <v>1648903.001</v>
      </c>
      <c r="E121" t="inlineStr">
        <is>
          <t>USD</t>
        </is>
      </c>
      <c r="F121" t="inlineStr">
        <is>
          <t>EUR</t>
        </is>
      </c>
      <c r="G121" t="n">
        <v>120500</v>
      </c>
      <c r="H121" t="inlineStr">
        <is>
          <t>2031-08-30T22:00:00Z</t>
        </is>
      </c>
      <c r="I121" t="n">
        <v>0.04846</v>
      </c>
      <c r="J121" t="n">
        <v>99.3852365145228</v>
      </c>
      <c r="K121" t="n">
        <v>95.3</v>
      </c>
      <c r="L121" t="n">
        <v>1.1144</v>
      </c>
      <c r="M121" t="n">
        <v>115585.53</v>
      </c>
      <c r="N121" t="n">
        <v>749.03</v>
      </c>
      <c r="O121" t="n">
        <v>-4.11050640698114</v>
      </c>
      <c r="P121" t="n">
        <v>0.152254296652213</v>
      </c>
      <c r="Q121" t="n">
        <v>1.11910353302564</v>
      </c>
    </row>
    <row r="122">
      <c r="A122" t="inlineStr">
        <is>
          <t>3.75% United States Treasury Notes 31.08.2031 Senior</t>
        </is>
      </c>
      <c r="B122" t="inlineStr">
        <is>
          <t>US91282CLJ89</t>
        </is>
      </c>
      <c r="C122" t="inlineStr">
        <is>
          <t>Malerba, Maria Clara</t>
        </is>
      </c>
      <c r="D122" t="n">
        <v>1632673.001</v>
      </c>
      <c r="E122" t="inlineStr">
        <is>
          <t>USD</t>
        </is>
      </c>
      <c r="F122" t="inlineStr">
        <is>
          <t>EUR</t>
        </is>
      </c>
      <c r="G122" t="n">
        <v>144300</v>
      </c>
      <c r="H122" t="inlineStr">
        <is>
          <t>2031-08-30T22:00:00Z</t>
        </is>
      </c>
      <c r="I122" t="n">
        <v>0.04846</v>
      </c>
      <c r="J122" t="n">
        <v>99.3851074151074</v>
      </c>
      <c r="K122" t="n">
        <v>95.3</v>
      </c>
      <c r="L122" t="n">
        <v>1.1144</v>
      </c>
      <c r="M122" t="n">
        <v>138414.87</v>
      </c>
      <c r="N122" t="n">
        <v>896.97</v>
      </c>
      <c r="O122" t="n">
        <v>-4.1103818483034</v>
      </c>
      <c r="P122" t="n">
        <v>0.152384350423458</v>
      </c>
      <c r="Q122" t="n">
        <v>2.36108723503955</v>
      </c>
    </row>
    <row r="123">
      <c r="A123" t="inlineStr">
        <is>
          <t>3.75% United States Treasury Notes 31.08.2031 Senior</t>
        </is>
      </c>
      <c r="B123" t="inlineStr">
        <is>
          <t>US91282CLJ89</t>
        </is>
      </c>
      <c r="C123" t="inlineStr">
        <is>
          <t>Galli, Federico</t>
        </is>
      </c>
      <c r="D123" t="n">
        <v>1621661.001</v>
      </c>
      <c r="E123" t="inlineStr">
        <is>
          <t>USD</t>
        </is>
      </c>
      <c r="F123" t="inlineStr">
        <is>
          <t>EUR</t>
        </is>
      </c>
      <c r="G123" t="n">
        <v>19000</v>
      </c>
      <c r="H123" t="inlineStr">
        <is>
          <t>2031-08-30T22:00:00Z</t>
        </is>
      </c>
      <c r="I123" t="n">
        <v>0.04846</v>
      </c>
      <c r="J123" t="n">
        <v>99.3843684210526</v>
      </c>
      <c r="K123" t="n">
        <v>95.3</v>
      </c>
      <c r="L123" t="n">
        <v>1.1144</v>
      </c>
      <c r="M123" t="n">
        <v>18225.1</v>
      </c>
      <c r="N123" t="n">
        <v>118.1</v>
      </c>
      <c r="O123" t="n">
        <v>-4.1096688402232</v>
      </c>
      <c r="P123" t="n">
        <v>0.153118589237809</v>
      </c>
      <c r="Q123" t="n">
        <v>2.97323340334832</v>
      </c>
    </row>
    <row r="124">
      <c r="A124" t="inlineStr">
        <is>
          <t>3.75% United States Treasury Notes 31.08.2031 Senior</t>
        </is>
      </c>
      <c r="B124" t="inlineStr">
        <is>
          <t>US91282CLJ89</t>
        </is>
      </c>
      <c r="C124" t="inlineStr">
        <is>
          <t>BISVALLES ASSETS INC.</t>
        </is>
      </c>
      <c r="D124" t="n">
        <v>1649314.001</v>
      </c>
      <c r="E124" t="inlineStr">
        <is>
          <t>USD</t>
        </is>
      </c>
      <c r="F124" t="inlineStr">
        <is>
          <t>EUR</t>
        </is>
      </c>
      <c r="G124" t="n">
        <v>348700</v>
      </c>
      <c r="H124" t="inlineStr">
        <is>
          <t>2031-08-30T22:00:00Z</t>
        </is>
      </c>
      <c r="I124" t="n">
        <v>0.04846</v>
      </c>
      <c r="J124" t="n">
        <v>99.7230111843992</v>
      </c>
      <c r="K124" t="n">
        <v>95.3</v>
      </c>
      <c r="L124" t="n">
        <v>1.1144</v>
      </c>
      <c r="M124" t="n">
        <v>334478.63</v>
      </c>
      <c r="N124" t="n">
        <v>2167.53</v>
      </c>
      <c r="O124" t="n">
        <v>-4.43529645953083</v>
      </c>
      <c r="P124" t="n">
        <v>0.408384367208458</v>
      </c>
      <c r="Q124" t="n">
        <v>3.09864221901968</v>
      </c>
    </row>
    <row r="125">
      <c r="A125" t="inlineStr">
        <is>
          <t>3.75% United States Treasury Notes 31.08.2031 Senior</t>
        </is>
      </c>
      <c r="B125" t="inlineStr">
        <is>
          <t>US91282CLJ89</t>
        </is>
      </c>
      <c r="C125" t="inlineStr">
        <is>
          <t>Laruffa, Serena</t>
        </is>
      </c>
      <c r="D125" t="n">
        <v>1596193.001</v>
      </c>
      <c r="E125" t="inlineStr">
        <is>
          <t>USD</t>
        </is>
      </c>
      <c r="F125" t="inlineStr">
        <is>
          <t>EUR</t>
        </is>
      </c>
      <c r="G125" t="n">
        <v>121000</v>
      </c>
      <c r="H125" t="inlineStr">
        <is>
          <t>2031-08-30T22:00:00Z</t>
        </is>
      </c>
      <c r="I125" t="n">
        <v>0.04846</v>
      </c>
      <c r="J125" t="n">
        <v>99.3852479338843</v>
      </c>
      <c r="K125" t="n">
        <v>95.3</v>
      </c>
      <c r="L125" t="n">
        <v>1.1144</v>
      </c>
      <c r="M125" t="n">
        <v>116065.14</v>
      </c>
      <c r="N125" t="n">
        <v>752.14</v>
      </c>
      <c r="O125" t="n">
        <v>-4.11051742468056</v>
      </c>
      <c r="P125" t="n">
        <v>0.152244598772228</v>
      </c>
      <c r="Q125" t="n">
        <v>3.41953858658001</v>
      </c>
    </row>
    <row r="126">
      <c r="A126" t="inlineStr">
        <is>
          <t>3.75% United States Treasury Notes 31.08.2031 Senior</t>
        </is>
      </c>
      <c r="B126" t="inlineStr">
        <is>
          <t>US91282CLJ89</t>
        </is>
      </c>
      <c r="C126" t="inlineStr">
        <is>
          <t>Hera Società Fiduciaria e di revisione S.p.A. - - 05361</t>
        </is>
      </c>
      <c r="D126" t="n">
        <v>1706128.001</v>
      </c>
      <c r="E126" t="inlineStr">
        <is>
          <t>USD</t>
        </is>
      </c>
      <c r="F126" t="inlineStr">
        <is>
          <t>EUR</t>
        </is>
      </c>
      <c r="G126" t="n">
        <v>36700</v>
      </c>
      <c r="H126" t="inlineStr">
        <is>
          <t>2031-08-30T22:00:00Z</t>
        </is>
      </c>
      <c r="I126" t="n">
        <v>0.04846</v>
      </c>
      <c r="J126" t="n">
        <v>99.3848773841961</v>
      </c>
      <c r="K126" t="n">
        <v>95.3</v>
      </c>
      <c r="L126" t="n">
        <v>1.1144</v>
      </c>
      <c r="M126" t="n">
        <v>35203.23</v>
      </c>
      <c r="N126" t="n">
        <v>228.13</v>
      </c>
      <c r="O126" t="n">
        <v>-4.11015990733188</v>
      </c>
      <c r="P126" t="n">
        <v>0.152605884293975</v>
      </c>
      <c r="Q126" t="n">
        <v>3.11953650853299</v>
      </c>
    </row>
    <row r="127">
      <c r="A127" t="inlineStr">
        <is>
          <t>3.75% United States Treasury Notes 31.08.2031 Senior</t>
        </is>
      </c>
      <c r="B127" t="inlineStr">
        <is>
          <t>US91282CLJ89</t>
        </is>
      </c>
      <c r="C127" t="inlineStr">
        <is>
          <t>Lettieri, Umberto</t>
        </is>
      </c>
      <c r="D127" t="n">
        <v>1710712.001</v>
      </c>
      <c r="E127" t="inlineStr">
        <is>
          <t>USD</t>
        </is>
      </c>
      <c r="F127" t="inlineStr">
        <is>
          <t>USD</t>
        </is>
      </c>
      <c r="G127" t="n">
        <v>53000</v>
      </c>
      <c r="H127" t="inlineStr">
        <is>
          <t>2031-08-30T22:00:00Z</t>
        </is>
      </c>
      <c r="I127" t="n">
        <v>0.04846</v>
      </c>
      <c r="J127" t="n">
        <v>98.83992452830179</v>
      </c>
      <c r="K127" t="n">
        <v>95.3</v>
      </c>
      <c r="L127" t="n">
        <v>1</v>
      </c>
      <c r="M127" t="n">
        <v>50838.45</v>
      </c>
      <c r="N127" t="n">
        <v>329.45</v>
      </c>
      <c r="O127" t="n">
        <v>-3.58147231009698</v>
      </c>
      <c r="P127" t="n">
        <v>-3.58147231009698</v>
      </c>
      <c r="Q127" t="n">
        <v>3.52843989132573</v>
      </c>
    </row>
    <row r="128">
      <c r="A128" t="inlineStr">
        <is>
          <t>3.75% United States Treasury Notes 31.08.2031 Senior</t>
        </is>
      </c>
      <c r="B128" t="inlineStr">
        <is>
          <t>US91282CLJ89</t>
        </is>
      </c>
      <c r="C128" t="inlineStr">
        <is>
          <t>Laruffa, Alessia</t>
        </is>
      </c>
      <c r="D128" t="n">
        <v>1596151.001</v>
      </c>
      <c r="E128" t="inlineStr">
        <is>
          <t>USD</t>
        </is>
      </c>
      <c r="F128" t="inlineStr">
        <is>
          <t>EUR</t>
        </is>
      </c>
      <c r="G128" t="n">
        <v>47800</v>
      </c>
      <c r="H128" t="inlineStr">
        <is>
          <t>2031-08-30T22:00:00Z</t>
        </is>
      </c>
      <c r="I128" t="n">
        <v>0.04846</v>
      </c>
      <c r="J128" t="n">
        <v>99.38541841004179</v>
      </c>
      <c r="K128" t="n">
        <v>95.3</v>
      </c>
      <c r="L128" t="n">
        <v>1.1144</v>
      </c>
      <c r="M128" t="n">
        <v>45850.53</v>
      </c>
      <c r="N128" t="n">
        <v>297.13</v>
      </c>
      <c r="O128" t="n">
        <v>-4.11068190424708</v>
      </c>
      <c r="P128" t="n">
        <v>0.152082516097053</v>
      </c>
      <c r="Q128" t="n">
        <v>1.76958935831709</v>
      </c>
    </row>
    <row r="129">
      <c r="A129" t="inlineStr">
        <is>
          <t>3.75% United States Treasury Notes 31.08.2031 Senior</t>
        </is>
      </c>
      <c r="B129" t="inlineStr">
        <is>
          <t>US91282CLJ89</t>
        </is>
      </c>
      <c r="C129" t="inlineStr">
        <is>
          <t>Siciliano, Rosanna</t>
        </is>
      </c>
      <c r="D129" t="n">
        <v>1597944.001</v>
      </c>
      <c r="E129" t="inlineStr">
        <is>
          <t>USD</t>
        </is>
      </c>
      <c r="F129" t="inlineStr">
        <is>
          <t>EUR</t>
        </is>
      </c>
      <c r="G129" t="n">
        <v>69600</v>
      </c>
      <c r="H129" t="inlineStr">
        <is>
          <t>2031-08-30T22:00:00Z</t>
        </is>
      </c>
      <c r="I129" t="n">
        <v>0.04846</v>
      </c>
      <c r="J129" t="n">
        <v>99.3854166666666</v>
      </c>
      <c r="K129" t="n">
        <v>95.3</v>
      </c>
      <c r="L129" t="n">
        <v>1.1144</v>
      </c>
      <c r="M129" t="n">
        <v>66761.44</v>
      </c>
      <c r="N129" t="n">
        <v>432.64</v>
      </c>
      <c r="O129" t="n">
        <v>-4.11068022219893</v>
      </c>
      <c r="P129" t="n">
        <v>0.152085752267487</v>
      </c>
      <c r="Q129" t="n">
        <v>3.57685314395876</v>
      </c>
    </row>
    <row r="130">
      <c r="A130" t="inlineStr">
        <is>
          <t>3.85% Italy Treasury Bonds 01.10.2040 Reg-S Senior</t>
        </is>
      </c>
      <c r="B130" t="inlineStr">
        <is>
          <t>IT0005635583</t>
        </is>
      </c>
      <c r="C130" t="inlineStr">
        <is>
          <t>Petrassi, Raffaele</t>
        </is>
      </c>
      <c r="D130" t="n">
        <v>1656189.001</v>
      </c>
      <c r="E130" t="inlineStr">
        <is>
          <t>EUR</t>
        </is>
      </c>
      <c r="F130" t="inlineStr">
        <is>
          <t>EUR</t>
        </is>
      </c>
      <c r="G130" t="n">
        <v>29000</v>
      </c>
      <c r="H130" t="inlineStr">
        <is>
          <t>2040-09-30T22:00:00Z</t>
        </is>
      </c>
      <c r="I130" t="n">
        <v>0.0475831672</v>
      </c>
      <c r="J130" t="n">
        <v>98.34765517241379</v>
      </c>
      <c r="K130" t="n">
        <v>91.54000000000001</v>
      </c>
      <c r="L130" t="n">
        <v>1</v>
      </c>
      <c r="M130" t="n">
        <v>26629.42</v>
      </c>
      <c r="N130" t="n">
        <v>82.81999999999999</v>
      </c>
      <c r="O130" t="n">
        <v>-6.92203099349878</v>
      </c>
      <c r="P130" t="n">
        <v>-6.92203099349878</v>
      </c>
      <c r="Q130" t="n">
        <v>8.46508918640933</v>
      </c>
    </row>
    <row r="131">
      <c r="A131" t="inlineStr">
        <is>
          <t>3.85% Italy Treasury Bonds 01.10.2040 Reg-S Senior</t>
        </is>
      </c>
      <c r="B131" t="inlineStr">
        <is>
          <t>IT0005635583</t>
        </is>
      </c>
      <c r="C131" t="inlineStr">
        <is>
          <t>Laruffa, Sergio</t>
        </is>
      </c>
      <c r="D131" t="n">
        <v>1591822.001</v>
      </c>
      <c r="E131" t="inlineStr">
        <is>
          <t>EUR</t>
        </is>
      </c>
      <c r="F131" t="inlineStr">
        <is>
          <t>USD</t>
        </is>
      </c>
      <c r="G131" t="n">
        <v>292000</v>
      </c>
      <c r="H131" t="inlineStr">
        <is>
          <t>2040-09-30T22:00:00Z</t>
        </is>
      </c>
      <c r="I131" t="n">
        <v>0.0475831672</v>
      </c>
      <c r="J131" t="n">
        <v>98.55956164383559</v>
      </c>
      <c r="K131" t="n">
        <v>91.54000000000001</v>
      </c>
      <c r="L131" t="n">
        <v>1.1144</v>
      </c>
      <c r="M131" t="n">
        <v>268130.68</v>
      </c>
      <c r="N131" t="n">
        <v>833.88</v>
      </c>
      <c r="O131" t="n">
        <v>-7.12215185087996</v>
      </c>
      <c r="P131" t="n">
        <v>-11.5910596290846</v>
      </c>
      <c r="Q131" t="n">
        <v>6.10066137168807</v>
      </c>
    </row>
    <row r="132">
      <c r="A132" t="inlineStr">
        <is>
          <t>3.85% Italy Treasury Bonds 01.10.2040 Reg-S Senior</t>
        </is>
      </c>
      <c r="B132" t="inlineStr">
        <is>
          <t>IT0005635583</t>
        </is>
      </c>
      <c r="C132" t="inlineStr">
        <is>
          <t>Bucchioni, Fabio</t>
        </is>
      </c>
      <c r="D132" t="n">
        <v>1592092.001</v>
      </c>
      <c r="E132" t="inlineStr">
        <is>
          <t>EUR</t>
        </is>
      </c>
      <c r="F132" t="inlineStr">
        <is>
          <t>EUR</t>
        </is>
      </c>
      <c r="G132" t="n">
        <v>47000</v>
      </c>
      <c r="H132" t="inlineStr">
        <is>
          <t>2040-09-30T22:00:00Z</t>
        </is>
      </c>
      <c r="I132" t="n">
        <v>0.0475831672</v>
      </c>
      <c r="J132" t="n">
        <v>98.32268085106379</v>
      </c>
      <c r="K132" t="n">
        <v>91.54000000000001</v>
      </c>
      <c r="L132" t="n">
        <v>1</v>
      </c>
      <c r="M132" t="n">
        <v>43158.02</v>
      </c>
      <c r="N132" t="n">
        <v>134.22</v>
      </c>
      <c r="O132" t="n">
        <v>-6.89838884818247</v>
      </c>
      <c r="P132" t="n">
        <v>-6.89838884818247</v>
      </c>
      <c r="Q132" t="n">
        <v>8.75547488265431</v>
      </c>
    </row>
    <row r="133">
      <c r="A133" t="inlineStr">
        <is>
          <t>3.85% Italy Treasury Bonds 01.10.2040 Reg-S Senior</t>
        </is>
      </c>
      <c r="B133" t="inlineStr">
        <is>
          <t>IT0005635583</t>
        </is>
      </c>
      <c r="C133" t="inlineStr">
        <is>
          <t>Alemagna, Alberto Pietro</t>
        </is>
      </c>
      <c r="D133" t="n">
        <v>1627998.001</v>
      </c>
      <c r="E133" t="inlineStr">
        <is>
          <t>EUR</t>
        </is>
      </c>
      <c r="F133" t="inlineStr">
        <is>
          <t>EUR</t>
        </is>
      </c>
      <c r="G133" t="n">
        <v>293000</v>
      </c>
      <c r="H133" t="inlineStr">
        <is>
          <t>2040-09-30T22:00:00Z</t>
        </is>
      </c>
      <c r="I133" t="n">
        <v>0.0475831672</v>
      </c>
      <c r="J133" t="n">
        <v>98.13328668941971</v>
      </c>
      <c r="K133" t="n">
        <v>91.54000000000001</v>
      </c>
      <c r="L133" t="n">
        <v>1</v>
      </c>
      <c r="M133" t="n">
        <v>269048.94</v>
      </c>
      <c r="N133" t="n">
        <v>836.74</v>
      </c>
      <c r="O133" t="n">
        <v>-6.71870566231697</v>
      </c>
      <c r="P133" t="n">
        <v>-6.71870566231697</v>
      </c>
      <c r="Q133" t="n">
        <v>9.521995331383209</v>
      </c>
    </row>
    <row r="134">
      <c r="A134" t="inlineStr">
        <is>
          <t>3.85% Italy Treasury Bonds 01.10.2040 Reg-S Senior</t>
        </is>
      </c>
      <c r="B134" t="inlineStr">
        <is>
          <t>IT0005635583</t>
        </is>
      </c>
      <c r="C134" t="inlineStr">
        <is>
          <t>Simon Fiduciaria S.p.A. - POS. FID. 6297</t>
        </is>
      </c>
      <c r="D134" t="n">
        <v>1660666.001</v>
      </c>
      <c r="E134" t="inlineStr">
        <is>
          <t>EUR</t>
        </is>
      </c>
      <c r="F134" t="inlineStr">
        <is>
          <t>EUR</t>
        </is>
      </c>
      <c r="G134" t="n">
        <v>349000</v>
      </c>
      <c r="H134" t="inlineStr">
        <is>
          <t>2040-09-30T22:00:00Z</t>
        </is>
      </c>
      <c r="I134" t="n">
        <v>0.0475831672</v>
      </c>
      <c r="J134" t="n">
        <v>98.1949111747851</v>
      </c>
      <c r="K134" t="n">
        <v>91.54000000000001</v>
      </c>
      <c r="L134" t="n">
        <v>1</v>
      </c>
      <c r="M134" t="n">
        <v>320471.26</v>
      </c>
      <c r="N134" t="n">
        <v>996.66</v>
      </c>
      <c r="O134" t="n">
        <v>-6.77724649390382</v>
      </c>
      <c r="P134" t="n">
        <v>-6.77724649390382</v>
      </c>
      <c r="Q134" t="n">
        <v>8.507429353519351</v>
      </c>
    </row>
    <row r="135">
      <c r="A135" t="inlineStr">
        <is>
          <t>3.85% Italy Treasury Bonds 01.10.2040 Reg-S Senior</t>
        </is>
      </c>
      <c r="B135" t="inlineStr">
        <is>
          <t>IT0005635583</t>
        </is>
      </c>
      <c r="C135" t="inlineStr">
        <is>
          <t>Marchesi, Riccardo</t>
        </is>
      </c>
      <c r="D135" t="n">
        <v>1592866.001</v>
      </c>
      <c r="E135" t="inlineStr">
        <is>
          <t>EUR</t>
        </is>
      </c>
      <c r="F135" t="inlineStr">
        <is>
          <t>EUR</t>
        </is>
      </c>
      <c r="G135" t="n">
        <v>122000</v>
      </c>
      <c r="H135" t="inlineStr">
        <is>
          <t>2040-09-30T22:00:00Z</t>
        </is>
      </c>
      <c r="I135" t="n">
        <v>0.0475831672</v>
      </c>
      <c r="J135" t="n">
        <v>98.20071311475409</v>
      </c>
      <c r="K135" t="n">
        <v>91.54000000000001</v>
      </c>
      <c r="L135" t="n">
        <v>1</v>
      </c>
      <c r="M135" t="n">
        <v>112027.2</v>
      </c>
      <c r="N135" t="n">
        <v>348.4</v>
      </c>
      <c r="O135" t="n">
        <v>-6.78275432375996</v>
      </c>
      <c r="P135" t="n">
        <v>-6.78275432375996</v>
      </c>
      <c r="Q135" t="n">
        <v>8.76540870297033</v>
      </c>
    </row>
    <row r="136">
      <c r="A136" t="inlineStr">
        <is>
          <t>3.85% Italy Treasury Bonds 01.10.2040 Reg-S Senior</t>
        </is>
      </c>
      <c r="B136" t="inlineStr">
        <is>
          <t>IT0005635583</t>
        </is>
      </c>
      <c r="C136" t="inlineStr">
        <is>
          <t>Saira Holding S.r.L.</t>
        </is>
      </c>
      <c r="D136" t="n">
        <v>1690341.001</v>
      </c>
      <c r="E136" t="inlineStr">
        <is>
          <t>EUR</t>
        </is>
      </c>
      <c r="F136" t="inlineStr">
        <is>
          <t>EUR</t>
        </is>
      </c>
      <c r="G136" t="n">
        <v>15000</v>
      </c>
      <c r="H136" t="inlineStr">
        <is>
          <t>2040-09-30T22:00:00Z</t>
        </is>
      </c>
      <c r="I136" t="n">
        <v>0.0475831672</v>
      </c>
      <c r="J136" t="n">
        <v>98.42666666666661</v>
      </c>
      <c r="K136" t="n">
        <v>91.54000000000001</v>
      </c>
      <c r="L136" t="n">
        <v>1</v>
      </c>
      <c r="M136" t="n">
        <v>13773.84</v>
      </c>
      <c r="N136" t="n">
        <v>42.84</v>
      </c>
      <c r="O136" t="n">
        <v>-6.99674884855052</v>
      </c>
      <c r="P136" t="n">
        <v>-6.99674884855052</v>
      </c>
      <c r="Q136" t="n">
        <v>8.01904005607687</v>
      </c>
    </row>
    <row r="137">
      <c r="A137" t="inlineStr">
        <is>
          <t>3.85% Italy Treasury Bonds 01.10.2040 Reg-S Senior</t>
        </is>
      </c>
      <c r="B137" t="inlineStr">
        <is>
          <t>IT0005635583</t>
        </is>
      </c>
      <c r="C137" t="inlineStr">
        <is>
          <t>Minardi, Mario Paolo</t>
        </is>
      </c>
      <c r="D137" t="n">
        <v>1650579.001</v>
      </c>
      <c r="E137" t="inlineStr">
        <is>
          <t>EUR</t>
        </is>
      </c>
      <c r="F137" t="inlineStr">
        <is>
          <t>EUR</t>
        </is>
      </c>
      <c r="G137" t="n">
        <v>54000</v>
      </c>
      <c r="H137" t="inlineStr">
        <is>
          <t>2040-09-30T22:00:00Z</t>
        </is>
      </c>
      <c r="I137" t="n">
        <v>0.0475831672</v>
      </c>
      <c r="J137" t="n">
        <v>98.1796296296296</v>
      </c>
      <c r="K137" t="n">
        <v>91.54000000000001</v>
      </c>
      <c r="L137" t="n">
        <v>1</v>
      </c>
      <c r="M137" t="n">
        <v>49585.81</v>
      </c>
      <c r="N137" t="n">
        <v>154.21</v>
      </c>
      <c r="O137" t="n">
        <v>-6.76273648075145</v>
      </c>
      <c r="P137" t="n">
        <v>-6.76273648075145</v>
      </c>
      <c r="Q137" t="n">
        <v>8.80686580816713</v>
      </c>
    </row>
    <row r="138">
      <c r="A138" t="inlineStr">
        <is>
          <t>3.85% Italy Treasury Bonds 01.10.2040 Reg-S Senior</t>
        </is>
      </c>
      <c r="B138" t="inlineStr">
        <is>
          <t>IT0005635583</t>
        </is>
      </c>
      <c r="C138" t="inlineStr">
        <is>
          <t>Cariboni, Elisa</t>
        </is>
      </c>
      <c r="D138" t="n">
        <v>1600379.001</v>
      </c>
      <c r="E138" t="inlineStr">
        <is>
          <t>EUR</t>
        </is>
      </c>
      <c r="F138" t="inlineStr">
        <is>
          <t>EUR</t>
        </is>
      </c>
      <c r="G138" t="n">
        <v>123000</v>
      </c>
      <c r="H138" t="inlineStr">
        <is>
          <t>2040-09-30T22:00:00Z</t>
        </is>
      </c>
      <c r="I138" t="n">
        <v>0.0475831672</v>
      </c>
      <c r="J138" t="n">
        <v>98.2079756097561</v>
      </c>
      <c r="K138" t="n">
        <v>91.54000000000001</v>
      </c>
      <c r="L138" t="n">
        <v>1</v>
      </c>
      <c r="M138" t="n">
        <v>112945.46</v>
      </c>
      <c r="N138" t="n">
        <v>351.26</v>
      </c>
      <c r="O138" t="n">
        <v>-6.78964775351065</v>
      </c>
      <c r="P138" t="n">
        <v>-6.78964775351065</v>
      </c>
      <c r="Q138" t="n">
        <v>8.793634021942131</v>
      </c>
    </row>
    <row r="139">
      <c r="A139" t="inlineStr">
        <is>
          <t>3.85% Italy Treasury Bonds 01.10.2040 Reg-S Senior</t>
        </is>
      </c>
      <c r="B139" t="inlineStr">
        <is>
          <t>IT0005635583</t>
        </is>
      </c>
      <c r="C139" t="inlineStr">
        <is>
          <t>Hera Società Fiduciaria e di revisione S.p.A. -   05250</t>
        </is>
      </c>
      <c r="D139" t="n">
        <v>1696403.001</v>
      </c>
      <c r="E139" t="inlineStr">
        <is>
          <t>EUR</t>
        </is>
      </c>
      <c r="F139" t="inlineStr">
        <is>
          <t>EUR</t>
        </is>
      </c>
      <c r="G139" t="n">
        <v>78000</v>
      </c>
      <c r="H139" t="inlineStr">
        <is>
          <t>2040-09-30T22:00:00Z</t>
        </is>
      </c>
      <c r="I139" t="n">
        <v>0.0475831672</v>
      </c>
      <c r="J139" t="n">
        <v>99.1801538461538</v>
      </c>
      <c r="K139" t="n">
        <v>91.54000000000001</v>
      </c>
      <c r="L139" t="n">
        <v>1</v>
      </c>
      <c r="M139" t="n">
        <v>71623.95</v>
      </c>
      <c r="N139" t="n">
        <v>222.75</v>
      </c>
      <c r="O139" t="n">
        <v>-7.70330912977317</v>
      </c>
      <c r="P139" t="n">
        <v>-7.70330912977317</v>
      </c>
      <c r="Q139" t="n">
        <v>10.953283138193</v>
      </c>
    </row>
    <row r="140">
      <c r="A140" t="inlineStr">
        <is>
          <t>3.85% Italy Treasury Bonds 01.10.2040 Reg-S Senior</t>
        </is>
      </c>
      <c r="B140" t="inlineStr">
        <is>
          <t>IT0005635583</t>
        </is>
      </c>
      <c r="C140" t="inlineStr">
        <is>
          <t>Lettieri, Riccardo</t>
        </is>
      </c>
      <c r="D140" t="n">
        <v>1660765.001</v>
      </c>
      <c r="E140" t="inlineStr">
        <is>
          <t>EUR</t>
        </is>
      </c>
      <c r="F140" t="inlineStr">
        <is>
          <t>EUR</t>
        </is>
      </c>
      <c r="G140" t="n">
        <v>73000</v>
      </c>
      <c r="H140" t="inlineStr">
        <is>
          <t>2040-09-30T22:00:00Z</t>
        </is>
      </c>
      <c r="I140" t="n">
        <v>0.0475831672</v>
      </c>
      <c r="J140" t="n">
        <v>98.5914246575342</v>
      </c>
      <c r="K140" t="n">
        <v>91.54000000000001</v>
      </c>
      <c r="L140" t="n">
        <v>1</v>
      </c>
      <c r="M140" t="n">
        <v>67032.67</v>
      </c>
      <c r="N140" t="n">
        <v>208.47</v>
      </c>
      <c r="O140" t="n">
        <v>-7.15216833718345</v>
      </c>
      <c r="P140" t="n">
        <v>-7.15216833718345</v>
      </c>
      <c r="Q140" t="n">
        <v>8.09498283939239</v>
      </c>
    </row>
    <row r="141">
      <c r="A141" t="inlineStr">
        <is>
          <t>3.85% Italy Treasury Bonds 01.10.2040 Reg-S Senior</t>
        </is>
      </c>
      <c r="B141" t="inlineStr">
        <is>
          <t>IT0005635583</t>
        </is>
      </c>
      <c r="C141" t="inlineStr">
        <is>
          <t>Alemagna, Tancredi Luigi</t>
        </is>
      </c>
      <c r="D141" t="n">
        <v>1619782.001</v>
      </c>
      <c r="E141" t="inlineStr">
        <is>
          <t>EUR</t>
        </is>
      </c>
      <c r="F141" t="inlineStr">
        <is>
          <t>EUR</t>
        </is>
      </c>
      <c r="G141" t="n">
        <v>265000</v>
      </c>
      <c r="H141" t="inlineStr">
        <is>
          <t>2040-09-30T22:00:00Z</t>
        </is>
      </c>
      <c r="I141" t="n">
        <v>0.0475831672</v>
      </c>
      <c r="J141" t="n">
        <v>98.18326037735849</v>
      </c>
      <c r="K141" t="n">
        <v>91.54000000000001</v>
      </c>
      <c r="L141" t="n">
        <v>1</v>
      </c>
      <c r="M141" t="n">
        <v>243337.78</v>
      </c>
      <c r="N141" t="n">
        <v>756.78</v>
      </c>
      <c r="O141" t="n">
        <v>-6.76618432900447</v>
      </c>
      <c r="P141" t="n">
        <v>-6.76618432900447</v>
      </c>
      <c r="Q141" t="n">
        <v>9.31054555435453</v>
      </c>
    </row>
    <row r="142">
      <c r="A142" t="inlineStr">
        <is>
          <t>3.85% Italy Treasury Bonds 01.10.2040 Reg-S Senior</t>
        </is>
      </c>
      <c r="B142" t="inlineStr">
        <is>
          <t>IT0005635583</t>
        </is>
      </c>
      <c r="C142" t="inlineStr">
        <is>
          <t>Terenzi, Federico</t>
        </is>
      </c>
      <c r="D142" t="n">
        <v>1620379.001</v>
      </c>
      <c r="E142" t="inlineStr">
        <is>
          <t>EUR</t>
        </is>
      </c>
      <c r="F142" t="inlineStr">
        <is>
          <t>EUR</t>
        </is>
      </c>
      <c r="G142" t="n">
        <v>5000</v>
      </c>
      <c r="H142" t="inlineStr">
        <is>
          <t>2040-09-30T22:00:00Z</t>
        </is>
      </c>
      <c r="I142" t="n">
        <v>0.0475831672</v>
      </c>
      <c r="J142" t="n">
        <v>97.5866</v>
      </c>
      <c r="K142" t="n">
        <v>91.54000000000001</v>
      </c>
      <c r="L142" t="n">
        <v>1</v>
      </c>
      <c r="M142" t="n">
        <v>4591.28</v>
      </c>
      <c r="N142" t="n">
        <v>14.28</v>
      </c>
      <c r="O142" t="n">
        <v>-6.19613758446344</v>
      </c>
      <c r="P142" t="n">
        <v>-6.19613758446344</v>
      </c>
      <c r="Q142" t="n">
        <v>3.76166846982512</v>
      </c>
    </row>
    <row r="143">
      <c r="A143" t="inlineStr">
        <is>
          <t>3.85% Italy Treasury Bonds 01.10.2040 Reg-S Senior</t>
        </is>
      </c>
      <c r="B143" t="inlineStr">
        <is>
          <t>IT0005635583</t>
        </is>
      </c>
      <c r="C143" t="inlineStr">
        <is>
          <t>Simon Fiduciaria S.p.A. - POS. FID. 6297</t>
        </is>
      </c>
      <c r="D143" t="n">
        <v>1660666.003</v>
      </c>
      <c r="E143" t="inlineStr">
        <is>
          <t>EUR</t>
        </is>
      </c>
      <c r="F143" t="inlineStr">
        <is>
          <t>EUR</t>
        </is>
      </c>
      <c r="G143" t="n">
        <v>258000</v>
      </c>
      <c r="H143" t="inlineStr">
        <is>
          <t>2040-09-30T22:00:00Z</t>
        </is>
      </c>
      <c r="I143" t="n">
        <v>0.0475831672</v>
      </c>
      <c r="J143" t="n">
        <v>98.1745581395348</v>
      </c>
      <c r="K143" t="n">
        <v>91.54000000000001</v>
      </c>
      <c r="L143" t="n">
        <v>1</v>
      </c>
      <c r="M143" t="n">
        <v>236909.99</v>
      </c>
      <c r="N143" t="n">
        <v>736.79</v>
      </c>
      <c r="O143" t="n">
        <v>-6.75792004085745</v>
      </c>
      <c r="P143" t="n">
        <v>-6.75792004085745</v>
      </c>
      <c r="Q143" t="n">
        <v>8.86276086239204</v>
      </c>
    </row>
    <row r="144">
      <c r="A144" t="inlineStr">
        <is>
          <t>3.85% Italy Treasury Bonds 01.10.2040 Reg-S Senior</t>
        </is>
      </c>
      <c r="B144" t="inlineStr">
        <is>
          <t>IT0005635583</t>
        </is>
      </c>
      <c r="C144" t="inlineStr">
        <is>
          <t>Fariniundici S.p.A.</t>
        </is>
      </c>
      <c r="D144" t="n">
        <v>1644446.001</v>
      </c>
      <c r="E144" t="inlineStr">
        <is>
          <t>EUR</t>
        </is>
      </c>
      <c r="F144" t="inlineStr">
        <is>
          <t>EUR</t>
        </is>
      </c>
      <c r="G144" t="n">
        <v>696000</v>
      </c>
      <c r="H144" t="inlineStr">
        <is>
          <t>2040-09-30T22:00:00Z</t>
        </is>
      </c>
      <c r="I144" t="n">
        <v>0.0475831672</v>
      </c>
      <c r="J144" t="n">
        <v>98.54580459770111</v>
      </c>
      <c r="K144" t="n">
        <v>91.54000000000001</v>
      </c>
      <c r="L144" t="n">
        <v>1</v>
      </c>
      <c r="M144" t="n">
        <v>639106.02</v>
      </c>
      <c r="N144" t="n">
        <v>1987.62</v>
      </c>
      <c r="O144" t="n">
        <v>-7.10918605444577</v>
      </c>
      <c r="P144" t="n">
        <v>-7.10918605444577</v>
      </c>
      <c r="Q144" t="n">
        <v>5.86921542633925</v>
      </c>
    </row>
    <row r="145">
      <c r="A145" t="inlineStr">
        <is>
          <t>3.85% Italy Treasury Bonds 01.10.2040 Reg-S Senior</t>
        </is>
      </c>
      <c r="B145" t="inlineStr">
        <is>
          <t>IT0005635583</t>
        </is>
      </c>
      <c r="C145" t="inlineStr">
        <is>
          <t>Bertini, Marco</t>
        </is>
      </c>
      <c r="D145" t="n">
        <v>112029.001</v>
      </c>
      <c r="E145" t="inlineStr">
        <is>
          <t>EUR</t>
        </is>
      </c>
      <c r="F145" t="inlineStr">
        <is>
          <t>USD</t>
        </is>
      </c>
      <c r="G145" t="n">
        <v>97000</v>
      </c>
      <c r="H145" t="inlineStr">
        <is>
          <t>2040-09-30T22:00:00Z</t>
        </is>
      </c>
      <c r="I145" t="n">
        <v>0.0475831672</v>
      </c>
      <c r="J145" t="n">
        <v>98.5249896907216</v>
      </c>
      <c r="K145" t="n">
        <v>91.54000000000001</v>
      </c>
      <c r="L145" t="n">
        <v>1.1144</v>
      </c>
      <c r="M145" t="n">
        <v>89070.81</v>
      </c>
      <c r="N145" t="n">
        <v>277.01</v>
      </c>
      <c r="O145" t="n">
        <v>-7.08956145303656</v>
      </c>
      <c r="P145" t="n">
        <v>-11.5416548892944</v>
      </c>
      <c r="Q145" t="n">
        <v>6.42193724217049</v>
      </c>
    </row>
    <row r="146">
      <c r="A146" t="inlineStr">
        <is>
          <t>3.85% Italy Treasury Bonds 01.10.2040 Reg-S Senior</t>
        </is>
      </c>
      <c r="B146" t="inlineStr">
        <is>
          <t>IT0005635583</t>
        </is>
      </c>
      <c r="C146" t="inlineStr">
        <is>
          <t>Ancona, Giselda</t>
        </is>
      </c>
      <c r="D146" t="n">
        <v>1648638.001</v>
      </c>
      <c r="E146" t="inlineStr">
        <is>
          <t>EUR</t>
        </is>
      </c>
      <c r="F146" t="inlineStr">
        <is>
          <t>EUR</t>
        </is>
      </c>
      <c r="G146" t="n">
        <v>96000</v>
      </c>
      <c r="H146" t="inlineStr">
        <is>
          <t>2040-09-30T22:00:00Z</t>
        </is>
      </c>
      <c r="I146" t="n">
        <v>0.0475831672</v>
      </c>
      <c r="J146" t="n">
        <v>98.1603645833333</v>
      </c>
      <c r="K146" t="n">
        <v>91.54000000000001</v>
      </c>
      <c r="L146" t="n">
        <v>1</v>
      </c>
      <c r="M146" t="n">
        <v>88152.55</v>
      </c>
      <c r="N146" t="n">
        <v>274.15</v>
      </c>
      <c r="O146" t="n">
        <v>-6.74443764694146</v>
      </c>
      <c r="P146" t="n">
        <v>-6.74443764694146</v>
      </c>
      <c r="Q146" t="n">
        <v>9.086331994700579</v>
      </c>
    </row>
    <row r="147">
      <c r="A147" t="inlineStr">
        <is>
          <t>3.85% Italy Treasury Bonds 01.10.2040 Reg-S Senior</t>
        </is>
      </c>
      <c r="B147" t="inlineStr">
        <is>
          <t>IT0005635583</t>
        </is>
      </c>
      <c r="C147" t="inlineStr">
        <is>
          <t>Virlinzi, Francesco</t>
        </is>
      </c>
      <c r="D147" t="n">
        <v>1648903.001</v>
      </c>
      <c r="E147" t="inlineStr">
        <is>
          <t>EUR</t>
        </is>
      </c>
      <c r="F147" t="inlineStr">
        <is>
          <t>EUR</t>
        </is>
      </c>
      <c r="G147" t="n">
        <v>698000</v>
      </c>
      <c r="H147" t="inlineStr">
        <is>
          <t>2040-09-30T22:00:00Z</t>
        </is>
      </c>
      <c r="I147" t="n">
        <v>0.0475831672</v>
      </c>
      <c r="J147" t="n">
        <v>98.3919297994269</v>
      </c>
      <c r="K147" t="n">
        <v>91.54000000000001</v>
      </c>
      <c r="L147" t="n">
        <v>1</v>
      </c>
      <c r="M147" t="n">
        <v>640942.53</v>
      </c>
      <c r="N147" t="n">
        <v>1993.33</v>
      </c>
      <c r="O147" t="n">
        <v>-6.96391443220462</v>
      </c>
      <c r="P147" t="n">
        <v>-6.96391443220462</v>
      </c>
      <c r="Q147" t="n">
        <v>6.91582934476925</v>
      </c>
    </row>
    <row r="148">
      <c r="A148" t="inlineStr">
        <is>
          <t>3.85% Italy Treasury Bonds 01.10.2040 Reg-S Senior</t>
        </is>
      </c>
      <c r="B148" t="inlineStr">
        <is>
          <t>IT0005635583</t>
        </is>
      </c>
      <c r="C148" t="inlineStr">
        <is>
          <t>Malerba, Maria Clara</t>
        </is>
      </c>
      <c r="D148" t="n">
        <v>1632673.001</v>
      </c>
      <c r="E148" t="inlineStr">
        <is>
          <t>EUR</t>
        </is>
      </c>
      <c r="F148" t="inlineStr">
        <is>
          <t>EUR</t>
        </is>
      </c>
      <c r="G148" t="n">
        <v>540000</v>
      </c>
      <c r="H148" t="inlineStr">
        <is>
          <t>2040-09-30T22:00:00Z</t>
        </is>
      </c>
      <c r="I148" t="n">
        <v>0.0475831672</v>
      </c>
      <c r="J148" t="n">
        <v>98.1986981481481</v>
      </c>
      <c r="K148" t="n">
        <v>91.54000000000001</v>
      </c>
      <c r="L148" t="n">
        <v>1</v>
      </c>
      <c r="M148" t="n">
        <v>495858.12</v>
      </c>
      <c r="N148" t="n">
        <v>1542.12</v>
      </c>
      <c r="O148" t="n">
        <v>-6.78084157297325</v>
      </c>
      <c r="P148" t="n">
        <v>-6.78084157297325</v>
      </c>
      <c r="Q148" t="n">
        <v>9.426382740873731</v>
      </c>
    </row>
    <row r="149">
      <c r="A149" t="inlineStr">
        <is>
          <t>3.85% Italy Treasury Bonds 01.10.2040 Reg-S Senior</t>
        </is>
      </c>
      <c r="B149" t="inlineStr">
        <is>
          <t>IT0005635583</t>
        </is>
      </c>
      <c r="C149" t="inlineStr">
        <is>
          <t>Galli, Federico</t>
        </is>
      </c>
      <c r="D149" t="n">
        <v>1621661.001</v>
      </c>
      <c r="E149" t="inlineStr">
        <is>
          <t>EUR</t>
        </is>
      </c>
      <c r="F149" t="inlineStr">
        <is>
          <t>EUR</t>
        </is>
      </c>
      <c r="G149" t="n">
        <v>51000</v>
      </c>
      <c r="H149" t="inlineStr">
        <is>
          <t>2040-09-30T22:00:00Z</t>
        </is>
      </c>
      <c r="I149" t="n">
        <v>0.0475831672</v>
      </c>
      <c r="J149" t="n">
        <v>98.186862745098</v>
      </c>
      <c r="K149" t="n">
        <v>91.54000000000001</v>
      </c>
      <c r="L149" t="n">
        <v>1</v>
      </c>
      <c r="M149" t="n">
        <v>46831.04</v>
      </c>
      <c r="N149" t="n">
        <v>145.64</v>
      </c>
      <c r="O149" t="n">
        <v>-6.76960497490778</v>
      </c>
      <c r="P149" t="n">
        <v>-6.76960497490778</v>
      </c>
      <c r="Q149" t="n">
        <v>8.514345981665199</v>
      </c>
    </row>
    <row r="150">
      <c r="A150" t="inlineStr">
        <is>
          <t>3.85% Italy Treasury Bonds 01.10.2040 Reg-S Senior</t>
        </is>
      </c>
      <c r="B150" t="inlineStr">
        <is>
          <t>IT0005635583</t>
        </is>
      </c>
      <c r="C150" t="inlineStr">
        <is>
          <t>BISVALLES ASSETS INC.</t>
        </is>
      </c>
      <c r="D150" t="n">
        <v>1649314.001</v>
      </c>
      <c r="E150" t="inlineStr">
        <is>
          <t>EUR</t>
        </is>
      </c>
      <c r="F150" t="inlineStr">
        <is>
          <t>EUR</t>
        </is>
      </c>
      <c r="G150" t="n">
        <v>624000</v>
      </c>
      <c r="H150" t="inlineStr">
        <is>
          <t>2040-09-30T22:00:00Z</t>
        </is>
      </c>
      <c r="I150" t="n">
        <v>0.0475831672</v>
      </c>
      <c r="J150" t="n">
        <v>98.55734775641019</v>
      </c>
      <c r="K150" t="n">
        <v>91.54000000000001</v>
      </c>
      <c r="L150" t="n">
        <v>1</v>
      </c>
      <c r="M150" t="n">
        <v>572991.6</v>
      </c>
      <c r="N150" t="n">
        <v>1782</v>
      </c>
      <c r="O150" t="n">
        <v>-7.12006554169254</v>
      </c>
      <c r="P150" t="n">
        <v>-7.12006554169254</v>
      </c>
      <c r="Q150" t="n">
        <v>5.9157483005592</v>
      </c>
    </row>
    <row r="151">
      <c r="A151" t="inlineStr">
        <is>
          <t>3.85% Italy Treasury Bonds 01.10.2040 Reg-S Senior</t>
        </is>
      </c>
      <c r="B151" t="inlineStr">
        <is>
          <t>IT0005635583</t>
        </is>
      </c>
      <c r="C151" t="inlineStr">
        <is>
          <t>Laruffa, Serena</t>
        </is>
      </c>
      <c r="D151" t="n">
        <v>1596193.001</v>
      </c>
      <c r="E151" t="inlineStr">
        <is>
          <t>EUR</t>
        </is>
      </c>
      <c r="F151" t="inlineStr">
        <is>
          <t>EUR</t>
        </is>
      </c>
      <c r="G151" t="n">
        <v>322000</v>
      </c>
      <c r="H151" t="inlineStr">
        <is>
          <t>2040-09-30T22:00:00Z</t>
        </is>
      </c>
      <c r="I151" t="n">
        <v>0.0475831672</v>
      </c>
      <c r="J151" t="n">
        <v>98.1858695652173</v>
      </c>
      <c r="K151" t="n">
        <v>91.54000000000001</v>
      </c>
      <c r="L151" t="n">
        <v>1</v>
      </c>
      <c r="M151" t="n">
        <v>295678.36</v>
      </c>
      <c r="N151" t="n">
        <v>919.5599999999999</v>
      </c>
      <c r="O151" t="n">
        <v>-6.76866192115663</v>
      </c>
      <c r="P151" t="n">
        <v>-6.76866192115663</v>
      </c>
      <c r="Q151" t="n">
        <v>9.70830967655753</v>
      </c>
    </row>
    <row r="152">
      <c r="A152" t="inlineStr">
        <is>
          <t>3.85% Italy Treasury Bonds 01.10.2040 Reg-S Senior</t>
        </is>
      </c>
      <c r="B152" t="inlineStr">
        <is>
          <t>IT0005635583</t>
        </is>
      </c>
      <c r="C152" t="inlineStr">
        <is>
          <t>Hera Società Fiduciaria e di revisione S.p.A. - - 05361</t>
        </is>
      </c>
      <c r="D152" t="n">
        <v>1706128.001</v>
      </c>
      <c r="E152" t="inlineStr">
        <is>
          <t>EUR</t>
        </is>
      </c>
      <c r="F152" t="inlineStr">
        <is>
          <t>EUR</t>
        </is>
      </c>
      <c r="G152" t="n">
        <v>67000</v>
      </c>
      <c r="H152" t="inlineStr">
        <is>
          <t>2040-09-30T22:00:00Z</t>
        </is>
      </c>
      <c r="I152" t="n">
        <v>0.0475831672</v>
      </c>
      <c r="J152" t="n">
        <v>98.5801044776119</v>
      </c>
      <c r="K152" t="n">
        <v>91.54000000000001</v>
      </c>
      <c r="L152" t="n">
        <v>1</v>
      </c>
      <c r="M152" t="n">
        <v>61523.14</v>
      </c>
      <c r="N152" t="n">
        <v>191.34</v>
      </c>
      <c r="O152" t="n">
        <v>-7.14150640732054</v>
      </c>
      <c r="P152" t="n">
        <v>-7.14150640732054</v>
      </c>
      <c r="Q152" t="n">
        <v>6.07581457311468</v>
      </c>
    </row>
    <row r="153">
      <c r="A153" t="inlineStr">
        <is>
          <t>3.85% Italy Treasury Bonds 01.10.2040 Reg-S Senior</t>
        </is>
      </c>
      <c r="B153" t="inlineStr">
        <is>
          <t>IT0005635583</t>
        </is>
      </c>
      <c r="C153" t="inlineStr">
        <is>
          <t>Lettieri, Umberto</t>
        </is>
      </c>
      <c r="D153" t="n">
        <v>1710712.001</v>
      </c>
      <c r="E153" t="inlineStr">
        <is>
          <t>EUR</t>
        </is>
      </c>
      <c r="F153" t="inlineStr">
        <is>
          <t>USD</t>
        </is>
      </c>
      <c r="G153" t="n">
        <v>14000</v>
      </c>
      <c r="H153" t="inlineStr">
        <is>
          <t>2040-09-30T22:00:00Z</t>
        </is>
      </c>
      <c r="I153" t="n">
        <v>0.0475831672</v>
      </c>
      <c r="J153" t="n">
        <v>96.79471428571421</v>
      </c>
      <c r="K153" t="n">
        <v>91.54000000000001</v>
      </c>
      <c r="L153" t="n">
        <v>1.1144</v>
      </c>
      <c r="M153" t="n">
        <v>12855.58</v>
      </c>
      <c r="N153" t="n">
        <v>39.98</v>
      </c>
      <c r="O153" t="n">
        <v>-5.42872028136129</v>
      </c>
      <c r="P153" t="n">
        <v>-9.289720564016481</v>
      </c>
      <c r="Q153" t="n">
        <v>0.99435286654574</v>
      </c>
    </row>
    <row r="154">
      <c r="A154" t="inlineStr">
        <is>
          <t>3.85% Italy Treasury Bonds 01.10.2040 Reg-S Senior</t>
        </is>
      </c>
      <c r="B154" t="inlineStr">
        <is>
          <t>IT0005635583</t>
        </is>
      </c>
      <c r="C154" t="inlineStr">
        <is>
          <t>Laruffa, Alessia</t>
        </is>
      </c>
      <c r="D154" t="n">
        <v>1596151.001</v>
      </c>
      <c r="E154" t="inlineStr">
        <is>
          <t>EUR</t>
        </is>
      </c>
      <c r="F154" t="inlineStr">
        <is>
          <t>EUR</t>
        </is>
      </c>
      <c r="G154" t="n">
        <v>227000</v>
      </c>
      <c r="H154" t="inlineStr">
        <is>
          <t>2040-09-30T22:00:00Z</t>
        </is>
      </c>
      <c r="I154" t="n">
        <v>0.0475831672</v>
      </c>
      <c r="J154" t="n">
        <v>98.3068546255506</v>
      </c>
      <c r="K154" t="n">
        <v>91.54000000000001</v>
      </c>
      <c r="L154" t="n">
        <v>1</v>
      </c>
      <c r="M154" t="n">
        <v>208444.06</v>
      </c>
      <c r="N154" t="n">
        <v>648.26</v>
      </c>
      <c r="O154" t="n">
        <v>-6.8834006044904</v>
      </c>
      <c r="P154" t="n">
        <v>-6.8834006044904</v>
      </c>
      <c r="Q154" t="n">
        <v>8.965530417786781</v>
      </c>
    </row>
    <row r="155">
      <c r="A155" t="inlineStr">
        <is>
          <t>3.85% Italy Treasury Bonds 01.10.2040 Reg-S Senior</t>
        </is>
      </c>
      <c r="B155" t="inlineStr">
        <is>
          <t>IT0005635583</t>
        </is>
      </c>
      <c r="C155" t="inlineStr">
        <is>
          <t>Siciliano, Rosanna</t>
        </is>
      </c>
      <c r="D155" t="n">
        <v>1597944.001</v>
      </c>
      <c r="E155" t="inlineStr">
        <is>
          <t>EUR</t>
        </is>
      </c>
      <c r="F155" t="inlineStr">
        <is>
          <t>EUR</t>
        </is>
      </c>
      <c r="G155" t="n">
        <v>187000</v>
      </c>
      <c r="H155" t="inlineStr">
        <is>
          <t>2040-09-30T22:00:00Z</t>
        </is>
      </c>
      <c r="I155" t="n">
        <v>0.0475831672</v>
      </c>
      <c r="J155" t="n">
        <v>98.2046631016042</v>
      </c>
      <c r="K155" t="n">
        <v>91.54000000000001</v>
      </c>
      <c r="L155" t="n">
        <v>1</v>
      </c>
      <c r="M155" t="n">
        <v>171713.83</v>
      </c>
      <c r="N155" t="n">
        <v>534.03</v>
      </c>
      <c r="O155" t="n">
        <v>-6.78650370676278</v>
      </c>
      <c r="P155" t="n">
        <v>-6.78650370676278</v>
      </c>
      <c r="Q155" t="n">
        <v>10.2527185308866</v>
      </c>
    </row>
    <row r="156">
      <c r="A156" t="inlineStr">
        <is>
          <t>3.875% United States Treasury Notes 30.04.2030 Senior</t>
        </is>
      </c>
      <c r="B156" t="inlineStr">
        <is>
          <t>US91282CMZ13</t>
        </is>
      </c>
      <c r="C156" t="inlineStr">
        <is>
          <t>Petrassi, Raffaele</t>
        </is>
      </c>
      <c r="D156" t="n">
        <v>1656189.001</v>
      </c>
      <c r="E156" t="inlineStr">
        <is>
          <t>USD</t>
        </is>
      </c>
      <c r="F156" t="inlineStr">
        <is>
          <t>EUR</t>
        </is>
      </c>
      <c r="G156" t="n">
        <v>3400</v>
      </c>
      <c r="H156" t="inlineStr">
        <is>
          <t>2030-04-29T22:00:00Z</t>
        </is>
      </c>
      <c r="I156" t="n">
        <v>0.04809</v>
      </c>
      <c r="J156" t="n">
        <v>100.308529411764</v>
      </c>
      <c r="K156" t="n">
        <v>97</v>
      </c>
      <c r="L156" t="n">
        <v>1.1144</v>
      </c>
      <c r="M156" t="n">
        <v>3362.8</v>
      </c>
      <c r="N156" t="n">
        <v>64.8</v>
      </c>
      <c r="O156" t="n">
        <v>-3.29835302258619</v>
      </c>
      <c r="P156" t="n">
        <v>-0.686294579783003</v>
      </c>
      <c r="Q156" t="n">
        <v>0.959207998796615</v>
      </c>
    </row>
    <row r="157">
      <c r="A157" t="inlineStr">
        <is>
          <t>3.875% United States Treasury Notes 30.04.2030 Senior</t>
        </is>
      </c>
      <c r="B157" t="inlineStr">
        <is>
          <t>US91282CMZ13</t>
        </is>
      </c>
      <c r="C157" t="inlineStr">
        <is>
          <t>Laruffa, Sergio</t>
        </is>
      </c>
      <c r="D157" t="n">
        <v>1591822.001</v>
      </c>
      <c r="E157" t="inlineStr">
        <is>
          <t>USD</t>
        </is>
      </c>
      <c r="F157" t="inlineStr">
        <is>
          <t>USD</t>
        </is>
      </c>
      <c r="G157" t="n">
        <v>57700</v>
      </c>
      <c r="H157" t="inlineStr">
        <is>
          <t>2030-04-29T22:00:00Z</t>
        </is>
      </c>
      <c r="I157" t="n">
        <v>0.04809</v>
      </c>
      <c r="J157" t="n">
        <v>100.292616984402</v>
      </c>
      <c r="K157" t="n">
        <v>97</v>
      </c>
      <c r="L157" t="n">
        <v>1</v>
      </c>
      <c r="M157" t="n">
        <v>57068.71</v>
      </c>
      <c r="N157" t="n">
        <v>1099.71</v>
      </c>
      <c r="O157" t="n">
        <v>-3.2830103385518</v>
      </c>
      <c r="P157" t="n">
        <v>-3.2830103385518</v>
      </c>
      <c r="Q157" t="n">
        <v>1.1651184922994</v>
      </c>
    </row>
    <row r="158">
      <c r="A158" t="inlineStr">
        <is>
          <t>3.875% United States Treasury Notes 30.04.2030 Senior</t>
        </is>
      </c>
      <c r="B158" t="inlineStr">
        <is>
          <t>US91282CMZ13</t>
        </is>
      </c>
      <c r="C158" t="inlineStr">
        <is>
          <t>Bucchioni, Fabio</t>
        </is>
      </c>
      <c r="D158" t="n">
        <v>1592092.001</v>
      </c>
      <c r="E158" t="inlineStr">
        <is>
          <t>USD</t>
        </is>
      </c>
      <c r="F158" t="inlineStr">
        <is>
          <t>EUR</t>
        </is>
      </c>
      <c r="G158" t="n">
        <v>5400</v>
      </c>
      <c r="H158" t="inlineStr">
        <is>
          <t>2030-04-29T22:00:00Z</t>
        </is>
      </c>
      <c r="I158" t="n">
        <v>0.04809</v>
      </c>
      <c r="J158" t="n">
        <v>100.291666666666</v>
      </c>
      <c r="K158" t="n">
        <v>97</v>
      </c>
      <c r="L158" t="n">
        <v>1.1144</v>
      </c>
      <c r="M158" t="n">
        <v>5340.92</v>
      </c>
      <c r="N158" t="n">
        <v>102.92</v>
      </c>
      <c r="O158" t="n">
        <v>-3.28209389281262</v>
      </c>
      <c r="P158" t="n">
        <v>-0.628563817304216</v>
      </c>
      <c r="Q158" t="n">
        <v>0.972245149369148</v>
      </c>
    </row>
    <row r="159">
      <c r="A159" t="inlineStr">
        <is>
          <t>3.875% United States Treasury Notes 30.04.2030 Senior</t>
        </is>
      </c>
      <c r="B159" t="inlineStr">
        <is>
          <t>US91282CMZ13</t>
        </is>
      </c>
      <c r="C159" t="inlineStr">
        <is>
          <t>Alemagna, Alberto Pietro</t>
        </is>
      </c>
      <c r="D159" t="n">
        <v>1627998.001</v>
      </c>
      <c r="E159" t="inlineStr">
        <is>
          <t>USD</t>
        </is>
      </c>
      <c r="F159" t="inlineStr">
        <is>
          <t>EUR</t>
        </is>
      </c>
      <c r="G159" t="n">
        <v>30700</v>
      </c>
      <c r="H159" t="inlineStr">
        <is>
          <t>2030-04-29T22:00:00Z</t>
        </is>
      </c>
      <c r="I159" t="n">
        <v>0.04809</v>
      </c>
      <c r="J159" t="n">
        <v>100.293583061889</v>
      </c>
      <c r="K159" t="n">
        <v>97</v>
      </c>
      <c r="L159" t="n">
        <v>1.1144</v>
      </c>
      <c r="M159" t="n">
        <v>30364.11</v>
      </c>
      <c r="N159" t="n">
        <v>585.11</v>
      </c>
      <c r="O159" t="n">
        <v>-3.28394196451914</v>
      </c>
      <c r="P159" t="n">
        <v>-0.63550876399681</v>
      </c>
      <c r="Q159" t="n">
        <v>0.9642703068038621</v>
      </c>
    </row>
    <row r="160">
      <c r="A160" t="inlineStr">
        <is>
          <t>3.875% United States Treasury Notes 30.04.2030 Senior</t>
        </is>
      </c>
      <c r="B160" t="inlineStr">
        <is>
          <t>US91282CMZ13</t>
        </is>
      </c>
      <c r="C160" t="inlineStr">
        <is>
          <t>Simon Fiduciaria S.p.A. - POS. FID. 6297</t>
        </is>
      </c>
      <c r="D160" t="n">
        <v>1660666.001</v>
      </c>
      <c r="E160" t="inlineStr">
        <is>
          <t>USD</t>
        </is>
      </c>
      <c r="F160" t="inlineStr">
        <is>
          <t>EUR</t>
        </is>
      </c>
      <c r="G160" t="n">
        <v>40200</v>
      </c>
      <c r="H160" t="inlineStr">
        <is>
          <t>2030-04-29T22:00:00Z</t>
        </is>
      </c>
      <c r="I160" t="n">
        <v>0.04809</v>
      </c>
      <c r="J160" t="n">
        <v>100.292537313432</v>
      </c>
      <c r="K160" t="n">
        <v>97</v>
      </c>
      <c r="L160" t="n">
        <v>1.1144</v>
      </c>
      <c r="M160" t="n">
        <v>39760.18</v>
      </c>
      <c r="N160" t="n">
        <v>766.1799999999999</v>
      </c>
      <c r="O160" t="n">
        <v>-3.2829335079469</v>
      </c>
      <c r="P160" t="n">
        <v>-0.631940784092768</v>
      </c>
      <c r="Q160" t="n">
        <v>0.947107544325877</v>
      </c>
    </row>
    <row r="161">
      <c r="A161" t="inlineStr">
        <is>
          <t>3.875% United States Treasury Notes 30.04.2030 Senior</t>
        </is>
      </c>
      <c r="B161" t="inlineStr">
        <is>
          <t>US91282CMZ13</t>
        </is>
      </c>
      <c r="C161" t="inlineStr">
        <is>
          <t>Marchesi, Riccardo</t>
        </is>
      </c>
      <c r="D161" t="n">
        <v>1592866.001</v>
      </c>
      <c r="E161" t="inlineStr">
        <is>
          <t>USD</t>
        </is>
      </c>
      <c r="F161" t="inlineStr">
        <is>
          <t>EUR</t>
        </is>
      </c>
      <c r="G161" t="n">
        <v>14000</v>
      </c>
      <c r="H161" t="inlineStr">
        <is>
          <t>2030-04-29T22:00:00Z</t>
        </is>
      </c>
      <c r="I161" t="n">
        <v>0.04809</v>
      </c>
      <c r="J161" t="n">
        <v>100.295428571428</v>
      </c>
      <c r="K161" t="n">
        <v>97</v>
      </c>
      <c r="L161" t="n">
        <v>1.1144</v>
      </c>
      <c r="M161" t="n">
        <v>13846.83</v>
      </c>
      <c r="N161" t="n">
        <v>266.83</v>
      </c>
      <c r="O161" t="n">
        <v>-3.28572161101203</v>
      </c>
      <c r="P161" t="n">
        <v>-0.641707741669826</v>
      </c>
      <c r="Q161" t="n">
        <v>0.972167038767031</v>
      </c>
    </row>
    <row r="162">
      <c r="A162" t="inlineStr">
        <is>
          <t>3.875% United States Treasury Notes 30.04.2030 Senior</t>
        </is>
      </c>
      <c r="B162" t="inlineStr">
        <is>
          <t>US91282CMZ13</t>
        </is>
      </c>
      <c r="C162" t="inlineStr">
        <is>
          <t>Saira Holding S.r.L.</t>
        </is>
      </c>
      <c r="D162" t="n">
        <v>1690341.001</v>
      </c>
      <c r="E162" t="inlineStr">
        <is>
          <t>USD</t>
        </is>
      </c>
      <c r="F162" t="inlineStr">
        <is>
          <t>EUR</t>
        </is>
      </c>
      <c r="G162" t="n">
        <v>1900</v>
      </c>
      <c r="H162" t="inlineStr">
        <is>
          <t>2030-04-29T22:00:00Z</t>
        </is>
      </c>
      <c r="I162" t="n">
        <v>0.04809</v>
      </c>
      <c r="J162" t="n">
        <v>100.308421052631</v>
      </c>
      <c r="K162" t="n">
        <v>97</v>
      </c>
      <c r="L162" t="n">
        <v>1.1144</v>
      </c>
      <c r="M162" t="n">
        <v>1879.21</v>
      </c>
      <c r="N162" t="n">
        <v>36.21</v>
      </c>
      <c r="O162" t="n">
        <v>-3.29824855970532</v>
      </c>
      <c r="P162" t="n">
        <v>-0.6864164019289321</v>
      </c>
      <c r="Q162" t="n">
        <v>0.98171213791931</v>
      </c>
    </row>
    <row r="163">
      <c r="A163" t="inlineStr">
        <is>
          <t>3.875% United States Treasury Notes 30.04.2030 Senior</t>
        </is>
      </c>
      <c r="B163" t="inlineStr">
        <is>
          <t>US91282CMZ13</t>
        </is>
      </c>
      <c r="C163" t="inlineStr">
        <is>
          <t>Minardi, Mario Paolo</t>
        </is>
      </c>
      <c r="D163" t="n">
        <v>1650579.001</v>
      </c>
      <c r="E163" t="inlineStr">
        <is>
          <t>USD</t>
        </is>
      </c>
      <c r="F163" t="inlineStr">
        <is>
          <t>EUR</t>
        </is>
      </c>
      <c r="G163" t="n">
        <v>6200</v>
      </c>
      <c r="H163" t="inlineStr">
        <is>
          <t>2030-04-29T22:00:00Z</t>
        </is>
      </c>
      <c r="I163" t="n">
        <v>0.04809</v>
      </c>
      <c r="J163" t="n">
        <v>100.293709677419</v>
      </c>
      <c r="K163" t="n">
        <v>97</v>
      </c>
      <c r="L163" t="n">
        <v>1.1144</v>
      </c>
      <c r="M163" t="n">
        <v>6132.17</v>
      </c>
      <c r="N163" t="n">
        <v>118.17</v>
      </c>
      <c r="O163" t="n">
        <v>-3.28406406345234</v>
      </c>
      <c r="P163" t="n">
        <v>-0.635984496266767</v>
      </c>
      <c r="Q163" t="n">
        <v>0.977280611075853</v>
      </c>
    </row>
    <row r="164">
      <c r="A164" t="inlineStr">
        <is>
          <t>3.875% United States Treasury Notes 30.04.2030 Senior</t>
        </is>
      </c>
      <c r="B164" t="inlineStr">
        <is>
          <t>US91282CMZ13</t>
        </is>
      </c>
      <c r="C164" t="inlineStr">
        <is>
          <t>Cariboni, Elisa</t>
        </is>
      </c>
      <c r="D164" t="n">
        <v>1600379.001</v>
      </c>
      <c r="E164" t="inlineStr">
        <is>
          <t>USD</t>
        </is>
      </c>
      <c r="F164" t="inlineStr">
        <is>
          <t>EUR</t>
        </is>
      </c>
      <c r="G164" t="n">
        <v>14100</v>
      </c>
      <c r="H164" t="inlineStr">
        <is>
          <t>2030-04-29T22:00:00Z</t>
        </is>
      </c>
      <c r="I164" t="n">
        <v>0.04809</v>
      </c>
      <c r="J164" t="n">
        <v>100.295460992907</v>
      </c>
      <c r="K164" t="n">
        <v>97</v>
      </c>
      <c r="L164" t="n">
        <v>1.1144</v>
      </c>
      <c r="M164" t="n">
        <v>13945.73</v>
      </c>
      <c r="N164" t="n">
        <v>268.73</v>
      </c>
      <c r="O164" t="n">
        <v>-3.2857528748393</v>
      </c>
      <c r="P164" t="n">
        <v>-0.6420127301490141</v>
      </c>
      <c r="Q164" t="n">
        <v>0.974276492683418</v>
      </c>
    </row>
    <row r="165">
      <c r="A165" t="inlineStr">
        <is>
          <t>3.875% United States Treasury Notes 30.04.2030 Senior</t>
        </is>
      </c>
      <c r="B165" t="inlineStr">
        <is>
          <t>US91282CMZ13</t>
        </is>
      </c>
      <c r="C165" t="inlineStr">
        <is>
          <t>Alemagna, Tancredi Luigi</t>
        </is>
      </c>
      <c r="D165" t="n">
        <v>1619782.001</v>
      </c>
      <c r="E165" t="inlineStr">
        <is>
          <t>USD</t>
        </is>
      </c>
      <c r="F165" t="inlineStr">
        <is>
          <t>EUR</t>
        </is>
      </c>
      <c r="G165" t="n">
        <v>30500</v>
      </c>
      <c r="H165" t="inlineStr">
        <is>
          <t>2030-04-29T22:00:00Z</t>
        </is>
      </c>
      <c r="I165" t="n">
        <v>0.04809</v>
      </c>
      <c r="J165" t="n">
        <v>100.293475409836</v>
      </c>
      <c r="K165" t="n">
        <v>97</v>
      </c>
      <c r="L165" t="n">
        <v>1.1144</v>
      </c>
      <c r="M165" t="n">
        <v>30166.3</v>
      </c>
      <c r="N165" t="n">
        <v>581.3</v>
      </c>
      <c r="O165" t="n">
        <v>-3.28383815236007</v>
      </c>
      <c r="P165" t="n">
        <v>-0.635149373702817</v>
      </c>
      <c r="Q165" t="n">
        <v>1.03568883969303</v>
      </c>
    </row>
    <row r="166">
      <c r="A166" t="inlineStr">
        <is>
          <t>3.875% United States Treasury Notes 30.04.2030 Senior</t>
        </is>
      </c>
      <c r="B166" t="inlineStr">
        <is>
          <t>US91282CMZ13</t>
        </is>
      </c>
      <c r="C166" t="inlineStr">
        <is>
          <t>Simon Fiduciaria S.p.A. - POS. FID. 6297</t>
        </is>
      </c>
      <c r="D166" t="n">
        <v>1660666.003</v>
      </c>
      <c r="E166" t="inlineStr">
        <is>
          <t>USD</t>
        </is>
      </c>
      <c r="F166" t="inlineStr">
        <is>
          <t>EUR</t>
        </is>
      </c>
      <c r="G166" t="n">
        <v>29400</v>
      </c>
      <c r="H166" t="inlineStr">
        <is>
          <t>2030-04-29T22:00:00Z</t>
        </is>
      </c>
      <c r="I166" t="n">
        <v>0.04809</v>
      </c>
      <c r="J166" t="n">
        <v>100.292891156462</v>
      </c>
      <c r="K166" t="n">
        <v>97</v>
      </c>
      <c r="L166" t="n">
        <v>1.1144</v>
      </c>
      <c r="M166" t="n">
        <v>29078.34</v>
      </c>
      <c r="N166" t="n">
        <v>560.34</v>
      </c>
      <c r="O166" t="n">
        <v>-3.28327473512104</v>
      </c>
      <c r="P166" t="n">
        <v>-0.6332586610004221</v>
      </c>
      <c r="Q166" t="n">
        <v>0.976105713636355</v>
      </c>
    </row>
    <row r="167">
      <c r="A167" t="inlineStr">
        <is>
          <t>3.875% United States Treasury Notes 30.04.2030 Senior</t>
        </is>
      </c>
      <c r="B167" t="inlineStr">
        <is>
          <t>US91282CMZ13</t>
        </is>
      </c>
      <c r="C167" t="inlineStr">
        <is>
          <t>Bertini, Marco</t>
        </is>
      </c>
      <c r="D167" t="n">
        <v>112029.001</v>
      </c>
      <c r="E167" t="inlineStr">
        <is>
          <t>USD</t>
        </is>
      </c>
      <c r="F167" t="inlineStr">
        <is>
          <t>USD</t>
        </is>
      </c>
      <c r="G167" t="n">
        <v>16600</v>
      </c>
      <c r="H167" t="inlineStr">
        <is>
          <t>2030-04-29T22:00:00Z</t>
        </is>
      </c>
      <c r="I167" t="n">
        <v>0.04809</v>
      </c>
      <c r="J167" t="n">
        <v>100.294156626506</v>
      </c>
      <c r="K167" t="n">
        <v>97</v>
      </c>
      <c r="L167" t="n">
        <v>1</v>
      </c>
      <c r="M167" t="n">
        <v>16418.38</v>
      </c>
      <c r="N167" t="n">
        <v>316.38</v>
      </c>
      <c r="O167" t="n">
        <v>-3.28449506662029</v>
      </c>
      <c r="P167" t="n">
        <v>-3.28449506662029</v>
      </c>
      <c r="Q167" t="n">
        <v>1.06219089871749</v>
      </c>
    </row>
    <row r="168">
      <c r="A168" t="inlineStr">
        <is>
          <t>3.875% United States Treasury Notes 30.04.2030 Senior</t>
        </is>
      </c>
      <c r="B168" t="inlineStr">
        <is>
          <t>US91282CMZ13</t>
        </is>
      </c>
      <c r="C168" t="inlineStr">
        <is>
          <t>Ancona, Giselda</t>
        </is>
      </c>
      <c r="D168" t="n">
        <v>1648638.001</v>
      </c>
      <c r="E168" t="inlineStr">
        <is>
          <t>USD</t>
        </is>
      </c>
      <c r="F168" t="inlineStr">
        <is>
          <t>EUR</t>
        </is>
      </c>
      <c r="G168" t="n">
        <v>10900</v>
      </c>
      <c r="H168" t="inlineStr">
        <is>
          <t>2030-04-29T22:00:00Z</t>
        </is>
      </c>
      <c r="I168" t="n">
        <v>0.04809</v>
      </c>
      <c r="J168" t="n">
        <v>100.291651376146</v>
      </c>
      <c r="K168" t="n">
        <v>97</v>
      </c>
      <c r="L168" t="n">
        <v>1.1144</v>
      </c>
      <c r="M168" t="n">
        <v>10780.74</v>
      </c>
      <c r="N168" t="n">
        <v>207.74</v>
      </c>
      <c r="O168" t="n">
        <v>-3.2820791471479</v>
      </c>
      <c r="P168" t="n">
        <v>-0.6289742953235939</v>
      </c>
      <c r="Q168" t="n">
        <v>0.997112341055764</v>
      </c>
    </row>
    <row r="169">
      <c r="A169" t="inlineStr">
        <is>
          <t>3.875% United States Treasury Notes 30.04.2030 Senior</t>
        </is>
      </c>
      <c r="B169" t="inlineStr">
        <is>
          <t>US91282CMZ13</t>
        </is>
      </c>
      <c r="C169" t="inlineStr">
        <is>
          <t>Galli, Federico</t>
        </is>
      </c>
      <c r="D169" t="n">
        <v>1621661.001</v>
      </c>
      <c r="E169" t="inlineStr">
        <is>
          <t>USD</t>
        </is>
      </c>
      <c r="F169" t="inlineStr">
        <is>
          <t>EUR</t>
        </is>
      </c>
      <c r="G169" t="n">
        <v>5800</v>
      </c>
      <c r="H169" t="inlineStr">
        <is>
          <t>2030-04-29T22:00:00Z</t>
        </is>
      </c>
      <c r="I169" t="n">
        <v>0.04809</v>
      </c>
      <c r="J169" t="n">
        <v>100.292758620689</v>
      </c>
      <c r="K169" t="n">
        <v>97</v>
      </c>
      <c r="L169" t="n">
        <v>1.1144</v>
      </c>
      <c r="M169" t="n">
        <v>5736.54</v>
      </c>
      <c r="N169" t="n">
        <v>110.54</v>
      </c>
      <c r="O169" t="n">
        <v>-3.2831469250367</v>
      </c>
      <c r="P169" t="n">
        <v>-0.6324317621284981</v>
      </c>
      <c r="Q169" t="n">
        <v>0.935857290876362</v>
      </c>
    </row>
    <row r="170">
      <c r="A170" t="inlineStr">
        <is>
          <t>3.875% United States Treasury Notes 30.04.2030 Senior</t>
        </is>
      </c>
      <c r="B170" t="inlineStr">
        <is>
          <t>US91282CMZ13</t>
        </is>
      </c>
      <c r="C170" t="inlineStr">
        <is>
          <t>Laruffa, Serena</t>
        </is>
      </c>
      <c r="D170" t="n">
        <v>1596193.001</v>
      </c>
      <c r="E170" t="inlineStr">
        <is>
          <t>USD</t>
        </is>
      </c>
      <c r="F170" t="inlineStr">
        <is>
          <t>EUR</t>
        </is>
      </c>
      <c r="G170" t="n">
        <v>37200</v>
      </c>
      <c r="H170" t="inlineStr">
        <is>
          <t>2030-04-29T22:00:00Z</t>
        </is>
      </c>
      <c r="I170" t="n">
        <v>0.04809</v>
      </c>
      <c r="J170" t="n">
        <v>100.29126344086</v>
      </c>
      <c r="K170" t="n">
        <v>97</v>
      </c>
      <c r="L170" t="n">
        <v>1.1144</v>
      </c>
      <c r="M170" t="n">
        <v>36793</v>
      </c>
      <c r="N170" t="n">
        <v>709</v>
      </c>
      <c r="O170" t="n">
        <v>-3.28170503385971</v>
      </c>
      <c r="P170" t="n">
        <v>-0.627597983731373</v>
      </c>
      <c r="Q170" t="n">
        <v>1.08400406152907</v>
      </c>
    </row>
    <row r="171">
      <c r="A171" t="inlineStr">
        <is>
          <t>3.875% United States Treasury Notes 30.04.2030 Senior</t>
        </is>
      </c>
      <c r="B171" t="inlineStr">
        <is>
          <t>US91282CMZ13</t>
        </is>
      </c>
      <c r="C171" t="inlineStr">
        <is>
          <t>Hera Società Fiduciaria e di revisione S.p.A. - - 05361</t>
        </is>
      </c>
      <c r="D171" t="n">
        <v>1706128.001</v>
      </c>
      <c r="E171" t="inlineStr">
        <is>
          <t>USD</t>
        </is>
      </c>
      <c r="F171" t="inlineStr">
        <is>
          <t>EUR</t>
        </is>
      </c>
      <c r="G171" t="n">
        <v>1600</v>
      </c>
      <c r="H171" t="inlineStr">
        <is>
          <t>2030-04-29T22:00:00Z</t>
        </is>
      </c>
      <c r="I171" t="n">
        <v>0.04809</v>
      </c>
      <c r="J171" t="n">
        <v>100.2925</v>
      </c>
      <c r="K171" t="n">
        <v>97</v>
      </c>
      <c r="L171" t="n">
        <v>1.1144</v>
      </c>
      <c r="M171" t="n">
        <v>1582.49</v>
      </c>
      <c r="N171" t="n">
        <v>30.49</v>
      </c>
      <c r="O171" t="n">
        <v>-3.28289752474013</v>
      </c>
      <c r="P171" t="n">
        <v>-0.632897844436992</v>
      </c>
      <c r="Q171" t="n">
        <v>0.140232360986962</v>
      </c>
    </row>
    <row r="172">
      <c r="A172" t="inlineStr">
        <is>
          <t>3.875% United States Treasury Notes 30.04.2030 Senior</t>
        </is>
      </c>
      <c r="B172" t="inlineStr">
        <is>
          <t>US91282CMZ13</t>
        </is>
      </c>
      <c r="C172" t="inlineStr">
        <is>
          <t>Laruffa, Alessia</t>
        </is>
      </c>
      <c r="D172" t="n">
        <v>1596151.001</v>
      </c>
      <c r="E172" t="inlineStr">
        <is>
          <t>USD</t>
        </is>
      </c>
      <c r="F172" t="inlineStr">
        <is>
          <t>EUR</t>
        </is>
      </c>
      <c r="G172" t="n">
        <v>30700</v>
      </c>
      <c r="H172" t="inlineStr">
        <is>
          <t>2030-04-29T22:00:00Z</t>
        </is>
      </c>
      <c r="I172" t="n">
        <v>0.04809</v>
      </c>
      <c r="J172" t="n">
        <v>100.293583061889</v>
      </c>
      <c r="K172" t="n">
        <v>97</v>
      </c>
      <c r="L172" t="n">
        <v>1.1144</v>
      </c>
      <c r="M172" t="n">
        <v>30364.11</v>
      </c>
      <c r="N172" t="n">
        <v>585.11</v>
      </c>
      <c r="O172" t="n">
        <v>-3.28394196451914</v>
      </c>
      <c r="P172" t="n">
        <v>-0.63550876399681</v>
      </c>
      <c r="Q172" t="n">
        <v>1.17189467112568</v>
      </c>
    </row>
    <row r="173">
      <c r="A173" t="inlineStr">
        <is>
          <t>3.875% United States Treasury Notes 31.12.2032 Senior</t>
        </is>
      </c>
      <c r="B173" t="inlineStr">
        <is>
          <t>US91282CPQ86</t>
        </is>
      </c>
      <c r="C173" t="inlineStr">
        <is>
          <t>Petrassi, Raffaele</t>
        </is>
      </c>
      <c r="D173" t="n">
        <v>1656189.001</v>
      </c>
      <c r="E173" t="inlineStr">
        <is>
          <t>USD</t>
        </is>
      </c>
      <c r="F173" t="inlineStr">
        <is>
          <t>EUR</t>
        </is>
      </c>
      <c r="G173" t="n">
        <v>7600</v>
      </c>
      <c r="H173" t="inlineStr">
        <is>
          <t>2032-12-30T23:00:00Z</t>
        </is>
      </c>
      <c r="I173" t="n">
        <v>0.04891</v>
      </c>
      <c r="J173" t="n">
        <v>98.9688157894736</v>
      </c>
      <c r="K173" t="n">
        <v>94.63</v>
      </c>
      <c r="L173" t="n">
        <v>1.1144</v>
      </c>
      <c r="M173" t="n">
        <v>7288.44</v>
      </c>
      <c r="N173" t="n">
        <v>96.56</v>
      </c>
      <c r="O173" t="n">
        <v>-4.3840231439196</v>
      </c>
      <c r="P173" t="n">
        <v>-0.131850785765686</v>
      </c>
      <c r="Q173" t="n">
        <v>2.07895738346691</v>
      </c>
    </row>
    <row r="174">
      <c r="A174" t="inlineStr">
        <is>
          <t>3.875% United States Treasury Notes 31.12.2032 Senior</t>
        </is>
      </c>
      <c r="B174" t="inlineStr">
        <is>
          <t>US91282CPQ86</t>
        </is>
      </c>
      <c r="C174" t="inlineStr">
        <is>
          <t>Laruffa, Sergio</t>
        </is>
      </c>
      <c r="D174" t="n">
        <v>1591822.001</v>
      </c>
      <c r="E174" t="inlineStr">
        <is>
          <t>USD</t>
        </is>
      </c>
      <c r="F174" t="inlineStr">
        <is>
          <t>USD</t>
        </is>
      </c>
      <c r="G174" t="n">
        <v>107800</v>
      </c>
      <c r="H174" t="inlineStr">
        <is>
          <t>2032-12-30T23:00:00Z</t>
        </is>
      </c>
      <c r="I174" t="n">
        <v>0.04891</v>
      </c>
      <c r="J174" t="n">
        <v>98.9687476808905</v>
      </c>
      <c r="K174" t="n">
        <v>94.63</v>
      </c>
      <c r="L174" t="n">
        <v>1</v>
      </c>
      <c r="M174" t="n">
        <v>103380.73</v>
      </c>
      <c r="N174" t="n">
        <v>1369.59</v>
      </c>
      <c r="O174" t="n">
        <v>-4.38395734265544</v>
      </c>
      <c r="P174" t="n">
        <v>-4.38395734265544</v>
      </c>
      <c r="Q174" t="n">
        <v>2.11062770247324</v>
      </c>
    </row>
    <row r="175">
      <c r="A175" t="inlineStr">
        <is>
          <t>3.875% United States Treasury Notes 31.12.2032 Senior</t>
        </is>
      </c>
      <c r="B175" t="inlineStr">
        <is>
          <t>US91282CPQ86</t>
        </is>
      </c>
      <c r="C175" t="inlineStr">
        <is>
          <t>Bucchioni, Fabio</t>
        </is>
      </c>
      <c r="D175" t="n">
        <v>1592092.001</v>
      </c>
      <c r="E175" t="inlineStr">
        <is>
          <t>USD</t>
        </is>
      </c>
      <c r="F175" t="inlineStr">
        <is>
          <t>EUR</t>
        </is>
      </c>
      <c r="G175" t="n">
        <v>11900</v>
      </c>
      <c r="H175" t="inlineStr">
        <is>
          <t>2032-12-30T23:00:00Z</t>
        </is>
      </c>
      <c r="I175" t="n">
        <v>0.04891</v>
      </c>
      <c r="J175" t="n">
        <v>98.9687394957983</v>
      </c>
      <c r="K175" t="n">
        <v>94.63</v>
      </c>
      <c r="L175" t="n">
        <v>1.1144</v>
      </c>
      <c r="M175" t="n">
        <v>11412.16</v>
      </c>
      <c r="N175" t="n">
        <v>151.19</v>
      </c>
      <c r="O175" t="n">
        <v>-4.38394943484403</v>
      </c>
      <c r="P175" t="n">
        <v>-0.131845541070775</v>
      </c>
      <c r="Q175" t="n">
        <v>2.07743517897378</v>
      </c>
    </row>
    <row r="176">
      <c r="A176" t="inlineStr">
        <is>
          <t>3.875% United States Treasury Notes 31.12.2032 Senior</t>
        </is>
      </c>
      <c r="B176" t="inlineStr">
        <is>
          <t>US91282CPQ86</t>
        </is>
      </c>
      <c r="C176" t="inlineStr">
        <is>
          <t>Alemagna, Alberto Pietro</t>
        </is>
      </c>
      <c r="D176" t="n">
        <v>1627998.001</v>
      </c>
      <c r="E176" t="inlineStr">
        <is>
          <t>USD</t>
        </is>
      </c>
      <c r="F176" t="inlineStr">
        <is>
          <t>EUR</t>
        </is>
      </c>
      <c r="G176" t="n">
        <v>67400</v>
      </c>
      <c r="H176" t="inlineStr">
        <is>
          <t>2032-12-30T23:00:00Z</t>
        </is>
      </c>
      <c r="I176" t="n">
        <v>0.04891</v>
      </c>
      <c r="J176" t="n">
        <v>98.96875370919879</v>
      </c>
      <c r="K176" t="n">
        <v>94.63</v>
      </c>
      <c r="L176" t="n">
        <v>1.1144</v>
      </c>
      <c r="M176" t="n">
        <v>64636.93</v>
      </c>
      <c r="N176" t="n">
        <v>856.3099999999999</v>
      </c>
      <c r="O176" t="n">
        <v>-4.38396316674597</v>
      </c>
      <c r="P176" t="n">
        <v>-0.131817714632621</v>
      </c>
      <c r="Q176" t="n">
        <v>2.05266927460771</v>
      </c>
    </row>
    <row r="177">
      <c r="A177" t="inlineStr">
        <is>
          <t>3.875% United States Treasury Notes 31.12.2032 Senior</t>
        </is>
      </c>
      <c r="B177" t="inlineStr">
        <is>
          <t>US91282CPQ86</t>
        </is>
      </c>
      <c r="C177" t="inlineStr">
        <is>
          <t>Simon Fiduciaria S.p.A. - POS. FID. 6297</t>
        </is>
      </c>
      <c r="D177" t="n">
        <v>1660666.001</v>
      </c>
      <c r="E177" t="inlineStr">
        <is>
          <t>USD</t>
        </is>
      </c>
      <c r="F177" t="inlineStr">
        <is>
          <t>EUR</t>
        </is>
      </c>
      <c r="G177" t="n">
        <v>88400</v>
      </c>
      <c r="H177" t="inlineStr">
        <is>
          <t>2032-12-30T23:00:00Z</t>
        </is>
      </c>
      <c r="I177" t="n">
        <v>0.04891</v>
      </c>
      <c r="J177" t="n">
        <v>98.9687556561086</v>
      </c>
      <c r="K177" t="n">
        <v>94.63</v>
      </c>
      <c r="L177" t="n">
        <v>1.1144</v>
      </c>
      <c r="M177" t="n">
        <v>84776.03</v>
      </c>
      <c r="N177" t="n">
        <v>1123.11</v>
      </c>
      <c r="O177" t="n">
        <v>-4.38396504770119</v>
      </c>
      <c r="P177" t="n">
        <v>-0.13182275560383</v>
      </c>
      <c r="Q177" t="n">
        <v>2.01940762997271</v>
      </c>
    </row>
    <row r="178">
      <c r="A178" t="inlineStr">
        <is>
          <t>3.875% United States Treasury Notes 31.12.2032 Senior</t>
        </is>
      </c>
      <c r="B178" t="inlineStr">
        <is>
          <t>US91282CPQ86</t>
        </is>
      </c>
      <c r="C178" t="inlineStr">
        <is>
          <t>Marchesi, Riccardo</t>
        </is>
      </c>
      <c r="D178" t="n">
        <v>1592866.001</v>
      </c>
      <c r="E178" t="inlineStr">
        <is>
          <t>USD</t>
        </is>
      </c>
      <c r="F178" t="inlineStr">
        <is>
          <t>EUR</t>
        </is>
      </c>
      <c r="G178" t="n">
        <v>30700</v>
      </c>
      <c r="H178" t="inlineStr">
        <is>
          <t>2032-12-30T23:00:00Z</t>
        </is>
      </c>
      <c r="I178" t="n">
        <v>0.04891</v>
      </c>
      <c r="J178" t="n">
        <v>98.9687622149837</v>
      </c>
      <c r="K178" t="n">
        <v>94.63</v>
      </c>
      <c r="L178" t="n">
        <v>1.1144</v>
      </c>
      <c r="M178" t="n">
        <v>29441.45</v>
      </c>
      <c r="N178" t="n">
        <v>390.04</v>
      </c>
      <c r="O178" t="n">
        <v>-4.38397138438378</v>
      </c>
      <c r="P178" t="n">
        <v>-0.131826554411688</v>
      </c>
      <c r="Q178" t="n">
        <v>2.06704347729473</v>
      </c>
    </row>
    <row r="179">
      <c r="A179" t="inlineStr">
        <is>
          <t>3.875% United States Treasury Notes 31.12.2032 Senior</t>
        </is>
      </c>
      <c r="B179" t="inlineStr">
        <is>
          <t>US91282CPQ86</t>
        </is>
      </c>
      <c r="C179" t="inlineStr">
        <is>
          <t>Saira Holding S.r.L.</t>
        </is>
      </c>
      <c r="D179" t="n">
        <v>1690341.001</v>
      </c>
      <c r="E179" t="inlineStr">
        <is>
          <t>USD</t>
        </is>
      </c>
      <c r="F179" t="inlineStr">
        <is>
          <t>EUR</t>
        </is>
      </c>
      <c r="G179" t="n">
        <v>4100</v>
      </c>
      <c r="H179" t="inlineStr">
        <is>
          <t>2032-12-30T23:00:00Z</t>
        </is>
      </c>
      <c r="I179" t="n">
        <v>0.04891</v>
      </c>
      <c r="J179" t="n">
        <v>98.96878048780481</v>
      </c>
      <c r="K179" t="n">
        <v>94.63</v>
      </c>
      <c r="L179" t="n">
        <v>1.1144</v>
      </c>
      <c r="M179" t="n">
        <v>3931.92</v>
      </c>
      <c r="N179" t="n">
        <v>52.09</v>
      </c>
      <c r="O179" t="n">
        <v>-4.38398903817907</v>
      </c>
      <c r="P179" t="n">
        <v>-0.131956397016637</v>
      </c>
      <c r="Q179" t="n">
        <v>2.05406015921827</v>
      </c>
    </row>
    <row r="180">
      <c r="A180" t="inlineStr">
        <is>
          <t>3.875% United States Treasury Notes 31.12.2032 Senior</t>
        </is>
      </c>
      <c r="B180" t="inlineStr">
        <is>
          <t>US91282CPQ86</t>
        </is>
      </c>
      <c r="C180" t="inlineStr">
        <is>
          <t>Minardi, Mario Paolo</t>
        </is>
      </c>
      <c r="D180" t="n">
        <v>1650579.001</v>
      </c>
      <c r="E180" t="inlineStr">
        <is>
          <t>USD</t>
        </is>
      </c>
      <c r="F180" t="inlineStr">
        <is>
          <t>EUR</t>
        </is>
      </c>
      <c r="G180" t="n">
        <v>13500</v>
      </c>
      <c r="H180" t="inlineStr">
        <is>
          <t>2032-12-30T23:00:00Z</t>
        </is>
      </c>
      <c r="I180" t="n">
        <v>0.04891</v>
      </c>
      <c r="J180" t="n">
        <v>98.9687407407407</v>
      </c>
      <c r="K180" t="n">
        <v>94.63</v>
      </c>
      <c r="L180" t="n">
        <v>1.1144</v>
      </c>
      <c r="M180" t="n">
        <v>12946.57</v>
      </c>
      <c r="N180" t="n">
        <v>171.52</v>
      </c>
      <c r="O180" t="n">
        <v>-4.38395063761247</v>
      </c>
      <c r="P180" t="n">
        <v>-0.131814059411288</v>
      </c>
      <c r="Q180" t="n">
        <v>2.06329142498799</v>
      </c>
    </row>
    <row r="181">
      <c r="A181" t="inlineStr">
        <is>
          <t>3.875% United States Treasury Notes 31.12.2032 Senior</t>
        </is>
      </c>
      <c r="B181" t="inlineStr">
        <is>
          <t>US91282CPQ86</t>
        </is>
      </c>
      <c r="C181" t="inlineStr">
        <is>
          <t>Cariboni, Elisa</t>
        </is>
      </c>
      <c r="D181" t="n">
        <v>1600379.001</v>
      </c>
      <c r="E181" t="inlineStr">
        <is>
          <t>USD</t>
        </is>
      </c>
      <c r="F181" t="inlineStr">
        <is>
          <t>EUR</t>
        </is>
      </c>
      <c r="G181" t="n">
        <v>30900</v>
      </c>
      <c r="H181" t="inlineStr">
        <is>
          <t>2032-12-30T23:00:00Z</t>
        </is>
      </c>
      <c r="I181" t="n">
        <v>0.04891</v>
      </c>
      <c r="J181" t="n">
        <v>98.9687378640776</v>
      </c>
      <c r="K181" t="n">
        <v>94.63</v>
      </c>
      <c r="L181" t="n">
        <v>1.1144</v>
      </c>
      <c r="M181" t="n">
        <v>29633.25</v>
      </c>
      <c r="N181" t="n">
        <v>392.58</v>
      </c>
      <c r="O181" t="n">
        <v>-4.38394785839992</v>
      </c>
      <c r="P181" t="n">
        <v>-0.131810728472183</v>
      </c>
      <c r="Q181" t="n">
        <v>2.07023934937167</v>
      </c>
    </row>
    <row r="182">
      <c r="A182" t="inlineStr">
        <is>
          <t>3.875% United States Treasury Notes 31.12.2032 Senior</t>
        </is>
      </c>
      <c r="B182" t="inlineStr">
        <is>
          <t>US91282CPQ86</t>
        </is>
      </c>
      <c r="C182" t="inlineStr">
        <is>
          <t>Hera Società Fiduciaria e di revisione S.p.A. -   05250</t>
        </is>
      </c>
      <c r="D182" t="n">
        <v>1696403.001</v>
      </c>
      <c r="E182" t="inlineStr">
        <is>
          <t>USD</t>
        </is>
      </c>
      <c r="F182" t="inlineStr">
        <is>
          <t>EUR</t>
        </is>
      </c>
      <c r="G182" t="n">
        <v>17700</v>
      </c>
      <c r="H182" t="inlineStr">
        <is>
          <t>2032-12-30T23:00:00Z</t>
        </is>
      </c>
      <c r="I182" t="n">
        <v>0.04891</v>
      </c>
      <c r="J182" t="n">
        <v>98.96875706214681</v>
      </c>
      <c r="K182" t="n">
        <v>94.63</v>
      </c>
      <c r="L182" t="n">
        <v>1.1144</v>
      </c>
      <c r="M182" t="n">
        <v>16974.39</v>
      </c>
      <c r="N182" t="n">
        <v>224.88</v>
      </c>
      <c r="O182" t="n">
        <v>-4.38396640610773</v>
      </c>
      <c r="P182" t="n">
        <v>-0.131833286708825</v>
      </c>
      <c r="Q182" t="n">
        <v>2.3292809644181</v>
      </c>
    </row>
    <row r="183">
      <c r="A183" t="inlineStr">
        <is>
          <t>3.875% United States Treasury Notes 31.12.2032 Senior</t>
        </is>
      </c>
      <c r="B183" t="inlineStr">
        <is>
          <t>US91282CPQ86</t>
        </is>
      </c>
      <c r="C183" t="inlineStr">
        <is>
          <t>Alemagna, Tancredi Luigi</t>
        </is>
      </c>
      <c r="D183" t="n">
        <v>1619782.001</v>
      </c>
      <c r="E183" t="inlineStr">
        <is>
          <t>USD</t>
        </is>
      </c>
      <c r="F183" t="inlineStr">
        <is>
          <t>EUR</t>
        </is>
      </c>
      <c r="G183" t="n">
        <v>66700</v>
      </c>
      <c r="H183" t="inlineStr">
        <is>
          <t>2032-12-30T23:00:00Z</t>
        </is>
      </c>
      <c r="I183" t="n">
        <v>0.04891</v>
      </c>
      <c r="J183" t="n">
        <v>98.96875562218889</v>
      </c>
      <c r="K183" t="n">
        <v>94.63</v>
      </c>
      <c r="L183" t="n">
        <v>1.1144</v>
      </c>
      <c r="M183" t="n">
        <v>63965.63</v>
      </c>
      <c r="N183" t="n">
        <v>847.42</v>
      </c>
      <c r="O183" t="n">
        <v>-4.38396501493058</v>
      </c>
      <c r="P183" t="n">
        <v>-0.131825695959796</v>
      </c>
      <c r="Q183" t="n">
        <v>2.19610928900262</v>
      </c>
    </row>
    <row r="184">
      <c r="A184" t="inlineStr">
        <is>
          <t>3.875% United States Treasury Notes 31.12.2032 Senior</t>
        </is>
      </c>
      <c r="B184" t="inlineStr">
        <is>
          <t>US91282CPQ86</t>
        </is>
      </c>
      <c r="C184" t="inlineStr">
        <is>
          <t>Terenzi, Federico</t>
        </is>
      </c>
      <c r="D184" t="n">
        <v>1620379.001</v>
      </c>
      <c r="E184" t="inlineStr">
        <is>
          <t>USD</t>
        </is>
      </c>
      <c r="F184" t="inlineStr">
        <is>
          <t>EUR</t>
        </is>
      </c>
      <c r="G184" t="n">
        <v>3900</v>
      </c>
      <c r="H184" t="inlineStr">
        <is>
          <t>2032-12-30T23:00:00Z</t>
        </is>
      </c>
      <c r="I184" t="n">
        <v>0.04891</v>
      </c>
      <c r="J184" t="n">
        <v>98.9687179487179</v>
      </c>
      <c r="K184" t="n">
        <v>94.63</v>
      </c>
      <c r="L184" t="n">
        <v>1.1144</v>
      </c>
      <c r="M184" t="n">
        <v>3740.12</v>
      </c>
      <c r="N184" t="n">
        <v>49.55</v>
      </c>
      <c r="O184" t="n">
        <v>-4.38392861769323</v>
      </c>
      <c r="P184" t="n">
        <v>-0.131787270616263</v>
      </c>
      <c r="Q184" t="n">
        <v>2.74962752249305</v>
      </c>
    </row>
    <row r="185">
      <c r="A185" t="inlineStr">
        <is>
          <t>3.875% United States Treasury Notes 31.12.2032 Senior</t>
        </is>
      </c>
      <c r="B185" t="inlineStr">
        <is>
          <t>US91282CPQ86</t>
        </is>
      </c>
      <c r="C185" t="inlineStr">
        <is>
          <t>Simon Fiduciaria S.p.A. - POS. FID. 6297</t>
        </is>
      </c>
      <c r="D185" t="n">
        <v>1660666.003</v>
      </c>
      <c r="E185" t="inlineStr">
        <is>
          <t>USD</t>
        </is>
      </c>
      <c r="F185" t="inlineStr">
        <is>
          <t>EUR</t>
        </is>
      </c>
      <c r="G185" t="n">
        <v>64900</v>
      </c>
      <c r="H185" t="inlineStr">
        <is>
          <t>2032-12-30T23:00:00Z</t>
        </is>
      </c>
      <c r="I185" t="n">
        <v>0.04891</v>
      </c>
      <c r="J185" t="n">
        <v>98.96875192604</v>
      </c>
      <c r="K185" t="n">
        <v>94.63</v>
      </c>
      <c r="L185" t="n">
        <v>1.1144</v>
      </c>
      <c r="M185" t="n">
        <v>62239.42</v>
      </c>
      <c r="N185" t="n">
        <v>824.55</v>
      </c>
      <c r="O185" t="n">
        <v>-4.3839614439944</v>
      </c>
      <c r="P185" t="n">
        <v>-0.131803090930178</v>
      </c>
      <c r="Q185" t="n">
        <v>2.08926194081063</v>
      </c>
    </row>
    <row r="186">
      <c r="A186" t="inlineStr">
        <is>
          <t>3.875% United States Treasury Notes 31.12.2032 Senior</t>
        </is>
      </c>
      <c r="B186" t="inlineStr">
        <is>
          <t>US91282CPQ86</t>
        </is>
      </c>
      <c r="C186" t="inlineStr">
        <is>
          <t>Fariniundici S.p.A.</t>
        </is>
      </c>
      <c r="D186" t="n">
        <v>1644446.001</v>
      </c>
      <c r="E186" t="inlineStr">
        <is>
          <t>USD</t>
        </is>
      </c>
      <c r="F186" t="inlineStr">
        <is>
          <t>EUR</t>
        </is>
      </c>
      <c r="G186" t="n">
        <v>263400</v>
      </c>
      <c r="H186" t="inlineStr">
        <is>
          <t>2032-12-30T23:00:00Z</t>
        </is>
      </c>
      <c r="I186" t="n">
        <v>0.04891</v>
      </c>
      <c r="J186" t="n">
        <v>99.5350303720577</v>
      </c>
      <c r="K186" t="n">
        <v>94.63</v>
      </c>
      <c r="L186" t="n">
        <v>1.1144</v>
      </c>
      <c r="M186" t="n">
        <v>252601.9</v>
      </c>
      <c r="N186" t="n">
        <v>3346.48</v>
      </c>
      <c r="O186" t="n">
        <v>-4.92794381407521</v>
      </c>
      <c r="P186" t="n">
        <v>0.158424462739687</v>
      </c>
      <c r="Q186" t="n">
        <v>2.08154296475106</v>
      </c>
    </row>
    <row r="187">
      <c r="A187" t="inlineStr">
        <is>
          <t>3.875% United States Treasury Notes 31.12.2032 Senior</t>
        </is>
      </c>
      <c r="B187" t="inlineStr">
        <is>
          <t>US91282CPQ86</t>
        </is>
      </c>
      <c r="C187" t="inlineStr">
        <is>
          <t>Bertini, Marco</t>
        </is>
      </c>
      <c r="D187" t="n">
        <v>112029.001</v>
      </c>
      <c r="E187" t="inlineStr">
        <is>
          <t>USD</t>
        </is>
      </c>
      <c r="F187" t="inlineStr">
        <is>
          <t>USD</t>
        </is>
      </c>
      <c r="G187" t="n">
        <v>35300</v>
      </c>
      <c r="H187" t="inlineStr">
        <is>
          <t>2032-12-30T23:00:00Z</t>
        </is>
      </c>
      <c r="I187" t="n">
        <v>0.04891</v>
      </c>
      <c r="J187" t="n">
        <v>98.9687535410764</v>
      </c>
      <c r="K187" t="n">
        <v>94.63</v>
      </c>
      <c r="L187" t="n">
        <v>1</v>
      </c>
      <c r="M187" t="n">
        <v>33852.87</v>
      </c>
      <c r="N187" t="n">
        <v>448.48</v>
      </c>
      <c r="O187" t="n">
        <v>-4.38396300431904</v>
      </c>
      <c r="P187" t="n">
        <v>-4.38396300431904</v>
      </c>
      <c r="Q187" t="n">
        <v>2.19011926934732</v>
      </c>
    </row>
    <row r="188">
      <c r="A188" t="inlineStr">
        <is>
          <t>3.875% United States Treasury Notes 31.12.2032 Senior</t>
        </is>
      </c>
      <c r="B188" t="inlineStr">
        <is>
          <t>US91282CPQ86</t>
        </is>
      </c>
      <c r="C188" t="inlineStr">
        <is>
          <t>Ancona, Giselda</t>
        </is>
      </c>
      <c r="D188" t="n">
        <v>1648638.001</v>
      </c>
      <c r="E188" t="inlineStr">
        <is>
          <t>USD</t>
        </is>
      </c>
      <c r="F188" t="inlineStr">
        <is>
          <t>EUR</t>
        </is>
      </c>
      <c r="G188" t="n">
        <v>23800</v>
      </c>
      <c r="H188" t="inlineStr">
        <is>
          <t>2032-12-30T23:00:00Z</t>
        </is>
      </c>
      <c r="I188" t="n">
        <v>0.04891</v>
      </c>
      <c r="J188" t="n">
        <v>98.9687394957983</v>
      </c>
      <c r="K188" t="n">
        <v>94.63</v>
      </c>
      <c r="L188" t="n">
        <v>1.1144</v>
      </c>
      <c r="M188" t="n">
        <v>22824.32</v>
      </c>
      <c r="N188" t="n">
        <v>302.38</v>
      </c>
      <c r="O188" t="n">
        <v>-4.38394943484403</v>
      </c>
      <c r="P188" t="n">
        <v>-0.131796188831767</v>
      </c>
      <c r="Q188" t="n">
        <v>2.1110242199558</v>
      </c>
    </row>
    <row r="189">
      <c r="A189" t="inlineStr">
        <is>
          <t>3.875% United States Treasury Notes 31.12.2032 Senior</t>
        </is>
      </c>
      <c r="B189" t="inlineStr">
        <is>
          <t>US91282CPQ86</t>
        </is>
      </c>
      <c r="C189" t="inlineStr">
        <is>
          <t>Virlinzi, Francesco</t>
        </is>
      </c>
      <c r="D189" t="n">
        <v>1648903.001</v>
      </c>
      <c r="E189" t="inlineStr">
        <is>
          <t>USD</t>
        </is>
      </c>
      <c r="F189" t="inlineStr">
        <is>
          <t>EUR</t>
        </is>
      </c>
      <c r="G189" t="n">
        <v>222800</v>
      </c>
      <c r="H189" t="inlineStr">
        <is>
          <t>2032-12-30T23:00:00Z</t>
        </is>
      </c>
      <c r="I189" t="n">
        <v>0.04891</v>
      </c>
      <c r="J189" t="n">
        <v>98.9687522441651</v>
      </c>
      <c r="K189" t="n">
        <v>94.63</v>
      </c>
      <c r="L189" t="n">
        <v>1.1144</v>
      </c>
      <c r="M189" t="n">
        <v>213666.3</v>
      </c>
      <c r="N189" t="n">
        <v>2830.66</v>
      </c>
      <c r="O189" t="n">
        <v>-4.38396175134254</v>
      </c>
      <c r="P189" t="n">
        <v>-0.131818816723015</v>
      </c>
      <c r="Q189" t="n">
        <v>2.06872535284528</v>
      </c>
    </row>
    <row r="190">
      <c r="A190" t="inlineStr">
        <is>
          <t>3.875% United States Treasury Notes 31.12.2032 Senior</t>
        </is>
      </c>
      <c r="B190" t="inlineStr">
        <is>
          <t>US91282CPQ86</t>
        </is>
      </c>
      <c r="C190" t="inlineStr">
        <is>
          <t>Malerba, Maria Clara</t>
        </is>
      </c>
      <c r="D190" t="n">
        <v>1632673.001</v>
      </c>
      <c r="E190" t="inlineStr">
        <is>
          <t>USD</t>
        </is>
      </c>
      <c r="F190" t="inlineStr">
        <is>
          <t>EUR</t>
        </is>
      </c>
      <c r="G190" t="n">
        <v>131300</v>
      </c>
      <c r="H190" t="inlineStr">
        <is>
          <t>2032-12-30T23:00:00Z</t>
        </is>
      </c>
      <c r="I190" t="n">
        <v>0.04891</v>
      </c>
      <c r="J190" t="n">
        <v>98.9687509520182</v>
      </c>
      <c r="K190" t="n">
        <v>94.63</v>
      </c>
      <c r="L190" t="n">
        <v>1.1144</v>
      </c>
      <c r="M190" t="n">
        <v>125917.35</v>
      </c>
      <c r="N190" t="n">
        <v>1668.16</v>
      </c>
      <c r="O190" t="n">
        <v>-4.38396050296904</v>
      </c>
      <c r="P190" t="n">
        <v>-0.13181117330576</v>
      </c>
      <c r="Q190" t="n">
        <v>2.14790391258853</v>
      </c>
    </row>
    <row r="191">
      <c r="A191" t="inlineStr">
        <is>
          <t>3.875% United States Treasury Notes 31.12.2032 Senior</t>
        </is>
      </c>
      <c r="B191" t="inlineStr">
        <is>
          <t>US91282CPQ86</t>
        </is>
      </c>
      <c r="C191" t="inlineStr">
        <is>
          <t>Galli, Federico</t>
        </is>
      </c>
      <c r="D191" t="n">
        <v>1621661.001</v>
      </c>
      <c r="E191" t="inlineStr">
        <is>
          <t>USD</t>
        </is>
      </c>
      <c r="F191" t="inlineStr">
        <is>
          <t>EUR</t>
        </is>
      </c>
      <c r="G191" t="n">
        <v>12800</v>
      </c>
      <c r="H191" t="inlineStr">
        <is>
          <t>2032-12-30T23:00:00Z</t>
        </is>
      </c>
      <c r="I191" t="n">
        <v>0.04891</v>
      </c>
      <c r="J191" t="n">
        <v>98.96875</v>
      </c>
      <c r="K191" t="n">
        <v>94.63</v>
      </c>
      <c r="L191" t="n">
        <v>1.1144</v>
      </c>
      <c r="M191" t="n">
        <v>12275.26</v>
      </c>
      <c r="N191" t="n">
        <v>162.62</v>
      </c>
      <c r="O191" t="n">
        <v>-4.38395958320176</v>
      </c>
      <c r="P191" t="n">
        <v>-0.131855570828953</v>
      </c>
      <c r="Q191" t="n">
        <v>2.00257951864378</v>
      </c>
    </row>
    <row r="192">
      <c r="A192" t="inlineStr">
        <is>
          <t>3.875% United States Treasury Notes 31.12.2032 Senior</t>
        </is>
      </c>
      <c r="B192" t="inlineStr">
        <is>
          <t>US91282CPQ86</t>
        </is>
      </c>
      <c r="C192" t="inlineStr">
        <is>
          <t>BISVALLES ASSETS INC.</t>
        </is>
      </c>
      <c r="D192" t="n">
        <v>1649314.001</v>
      </c>
      <c r="E192" t="inlineStr">
        <is>
          <t>USD</t>
        </is>
      </c>
      <c r="F192" t="inlineStr">
        <is>
          <t>EUR</t>
        </is>
      </c>
      <c r="G192" t="n">
        <v>234300</v>
      </c>
      <c r="H192" t="inlineStr">
        <is>
          <t>2032-12-30T23:00:00Z</t>
        </is>
      </c>
      <c r="I192" t="n">
        <v>0.04891</v>
      </c>
      <c r="J192" t="n">
        <v>99.5650021340162</v>
      </c>
      <c r="K192" t="n">
        <v>94.63</v>
      </c>
      <c r="L192" t="n">
        <v>1.1144</v>
      </c>
      <c r="M192" t="n">
        <v>224694.85</v>
      </c>
      <c r="N192" t="n">
        <v>2976.76</v>
      </c>
      <c r="O192" t="n">
        <v>-4.95656307763004</v>
      </c>
      <c r="P192" t="n">
        <v>0.161134253036056</v>
      </c>
      <c r="Q192" t="n">
        <v>2.08159475235823</v>
      </c>
    </row>
    <row r="193">
      <c r="A193" t="inlineStr">
        <is>
          <t>3.875% United States Treasury Notes 31.12.2032 Senior</t>
        </is>
      </c>
      <c r="B193" t="inlineStr">
        <is>
          <t>US91282CPQ86</t>
        </is>
      </c>
      <c r="C193" t="inlineStr">
        <is>
          <t>Laruffa, Serena</t>
        </is>
      </c>
      <c r="D193" t="n">
        <v>1596193.001</v>
      </c>
      <c r="E193" t="inlineStr">
        <is>
          <t>USD</t>
        </is>
      </c>
      <c r="F193" t="inlineStr">
        <is>
          <t>EUR</t>
        </is>
      </c>
      <c r="G193" t="n">
        <v>81400</v>
      </c>
      <c r="H193" t="inlineStr">
        <is>
          <t>2032-12-30T23:00:00Z</t>
        </is>
      </c>
      <c r="I193" t="n">
        <v>0.04891</v>
      </c>
      <c r="J193" t="n">
        <v>98.9687469287469</v>
      </c>
      <c r="K193" t="n">
        <v>94.63</v>
      </c>
      <c r="L193" t="n">
        <v>1.1144</v>
      </c>
      <c r="M193" t="n">
        <v>78063</v>
      </c>
      <c r="N193" t="n">
        <v>1034.18</v>
      </c>
      <c r="O193" t="n">
        <v>-4.38395661599174</v>
      </c>
      <c r="P193" t="n">
        <v>-0.131816554356014</v>
      </c>
      <c r="Q193" t="n">
        <v>2.29991059657076</v>
      </c>
    </row>
    <row r="194">
      <c r="A194" t="inlineStr">
        <is>
          <t>3.875% United States Treasury Notes 31.12.2032 Senior</t>
        </is>
      </c>
      <c r="B194" t="inlineStr">
        <is>
          <t>US91282CPQ86</t>
        </is>
      </c>
      <c r="C194" t="inlineStr">
        <is>
          <t>Hera Società Fiduciaria e di revisione S.p.A. - - 05361</t>
        </is>
      </c>
      <c r="D194" t="n">
        <v>1706128.001</v>
      </c>
      <c r="E194" t="inlineStr">
        <is>
          <t>USD</t>
        </is>
      </c>
      <c r="F194" t="inlineStr">
        <is>
          <t>EUR</t>
        </is>
      </c>
      <c r="G194" t="n">
        <v>24700</v>
      </c>
      <c r="H194" t="inlineStr">
        <is>
          <t>2032-12-30T23:00:00Z</t>
        </is>
      </c>
      <c r="I194" t="n">
        <v>0.04891</v>
      </c>
      <c r="J194" t="n">
        <v>98.9687449392712</v>
      </c>
      <c r="K194" t="n">
        <v>94.63</v>
      </c>
      <c r="L194" t="n">
        <v>1.1144</v>
      </c>
      <c r="M194" t="n">
        <v>23687.42</v>
      </c>
      <c r="N194" t="n">
        <v>313.81</v>
      </c>
      <c r="O194" t="n">
        <v>-4.38395469391228</v>
      </c>
      <c r="P194" t="n">
        <v>-0.131803184703973</v>
      </c>
      <c r="Q194" t="n">
        <v>2.09906210782221</v>
      </c>
    </row>
    <row r="195">
      <c r="A195" t="inlineStr">
        <is>
          <t>3.875% United States Treasury Notes 31.12.2032 Senior</t>
        </is>
      </c>
      <c r="B195" t="inlineStr">
        <is>
          <t>US91282CPQ86</t>
        </is>
      </c>
      <c r="C195" t="inlineStr">
        <is>
          <t>Lettieri, Umberto</t>
        </is>
      </c>
      <c r="D195" t="n">
        <v>1710712.001</v>
      </c>
      <c r="E195" t="inlineStr">
        <is>
          <t>USD</t>
        </is>
      </c>
      <c r="F195" t="inlineStr">
        <is>
          <t>USD</t>
        </is>
      </c>
      <c r="G195" t="n">
        <v>51600</v>
      </c>
      <c r="H195" t="inlineStr">
        <is>
          <t>2032-12-30T23:00:00Z</t>
        </is>
      </c>
      <c r="I195" t="n">
        <v>0.04891</v>
      </c>
      <c r="J195" t="n">
        <v>98.681957364341</v>
      </c>
      <c r="K195" t="n">
        <v>94.63</v>
      </c>
      <c r="L195" t="n">
        <v>1</v>
      </c>
      <c r="M195" t="n">
        <v>49484.65</v>
      </c>
      <c r="N195" t="n">
        <v>655.5700000000001</v>
      </c>
      <c r="O195" t="n">
        <v>-4.10607721265697</v>
      </c>
      <c r="P195" t="n">
        <v>-4.10607721265697</v>
      </c>
      <c r="Q195" t="n">
        <v>3.43447947504874</v>
      </c>
    </row>
    <row r="196">
      <c r="A196" t="inlineStr">
        <is>
          <t>3.875% United States Treasury Notes 31.12.2032 Senior</t>
        </is>
      </c>
      <c r="B196" t="inlineStr">
        <is>
          <t>US91282CPQ86</t>
        </is>
      </c>
      <c r="C196" t="inlineStr">
        <is>
          <t>Laruffa, Alessia</t>
        </is>
      </c>
      <c r="D196" t="n">
        <v>1596151.001</v>
      </c>
      <c r="E196" t="inlineStr">
        <is>
          <t>USD</t>
        </is>
      </c>
      <c r="F196" t="inlineStr">
        <is>
          <t>EUR</t>
        </is>
      </c>
      <c r="G196" t="n">
        <v>64300</v>
      </c>
      <c r="H196" t="inlineStr">
        <is>
          <t>2032-12-30T23:00:00Z</t>
        </is>
      </c>
      <c r="I196" t="n">
        <v>0.04891</v>
      </c>
      <c r="J196" t="n">
        <v>98.9687558320373</v>
      </c>
      <c r="K196" t="n">
        <v>94.63</v>
      </c>
      <c r="L196" t="n">
        <v>1.1144</v>
      </c>
      <c r="M196" t="n">
        <v>61664.02</v>
      </c>
      <c r="N196" t="n">
        <v>816.9299999999999</v>
      </c>
      <c r="O196" t="n">
        <v>-4.38396521767006</v>
      </c>
      <c r="P196" t="n">
        <v>-0.131825736144396</v>
      </c>
      <c r="Q196" t="n">
        <v>2.3799066849433</v>
      </c>
    </row>
    <row r="197">
      <c r="A197" t="inlineStr">
        <is>
          <t>3.875% United States Treasury Notes 31.12.2032 Senior</t>
        </is>
      </c>
      <c r="B197" t="inlineStr">
        <is>
          <t>US91282CPQ86</t>
        </is>
      </c>
      <c r="C197" t="inlineStr">
        <is>
          <t>Siciliano, Rosanna</t>
        </is>
      </c>
      <c r="D197" t="n">
        <v>1597944.001</v>
      </c>
      <c r="E197" t="inlineStr">
        <is>
          <t>USD</t>
        </is>
      </c>
      <c r="F197" t="inlineStr">
        <is>
          <t>EUR</t>
        </is>
      </c>
      <c r="G197" t="n">
        <v>46700</v>
      </c>
      <c r="H197" t="inlineStr">
        <is>
          <t>2032-12-30T23:00:00Z</t>
        </is>
      </c>
      <c r="I197" t="n">
        <v>0.04891</v>
      </c>
      <c r="J197" t="n">
        <v>98.9687580299785</v>
      </c>
      <c r="K197" t="n">
        <v>94.63</v>
      </c>
      <c r="L197" t="n">
        <v>1.1144</v>
      </c>
      <c r="M197" t="n">
        <v>44785.53</v>
      </c>
      <c r="N197" t="n">
        <v>593.3200000000001</v>
      </c>
      <c r="O197" t="n">
        <v>-4.38396734115258</v>
      </c>
      <c r="P197" t="n">
        <v>-0.131842792014784</v>
      </c>
      <c r="Q197" t="n">
        <v>2.39945759187827</v>
      </c>
    </row>
    <row r="198">
      <c r="A198" t="inlineStr">
        <is>
          <t>4% United States Treasury Notes 15.11.2035 Senior</t>
        </is>
      </c>
      <c r="B198" t="inlineStr">
        <is>
          <t>US91282CPJ44</t>
        </is>
      </c>
      <c r="C198" t="inlineStr">
        <is>
          <t>Petrassi, Raffaele</t>
        </is>
      </c>
      <c r="D198" t="n">
        <v>1656189.001</v>
      </c>
      <c r="E198" t="inlineStr">
        <is>
          <t>USD</t>
        </is>
      </c>
      <c r="F198" t="inlineStr">
        <is>
          <t>EUR</t>
        </is>
      </c>
      <c r="G198" t="n">
        <v>15400</v>
      </c>
      <c r="H198" t="inlineStr">
        <is>
          <t>2035-11-14T23:00:00Z</t>
        </is>
      </c>
      <c r="I198" t="n">
        <v>0.04984</v>
      </c>
      <c r="J198" t="n">
        <v>98.32487012987011</v>
      </c>
      <c r="K198" t="n">
        <v>92.935</v>
      </c>
      <c r="L198" t="n">
        <v>1.1144</v>
      </c>
      <c r="M198" t="n">
        <v>14589.86</v>
      </c>
      <c r="N198" t="n">
        <v>277.87</v>
      </c>
      <c r="O198" t="n">
        <v>-5.4816956511115</v>
      </c>
      <c r="P198" t="n">
        <v>-1.28028522187254</v>
      </c>
      <c r="Q198" t="n">
        <v>4.16162448313512</v>
      </c>
    </row>
    <row r="199">
      <c r="A199" t="inlineStr">
        <is>
          <t>4% United States Treasury Notes 15.11.2035 Senior</t>
        </is>
      </c>
      <c r="B199" t="inlineStr">
        <is>
          <t>US91282CPJ44</t>
        </is>
      </c>
      <c r="C199" t="inlineStr">
        <is>
          <t>Laruffa, Sergio</t>
        </is>
      </c>
      <c r="D199" t="n">
        <v>1591822.001</v>
      </c>
      <c r="E199" t="inlineStr">
        <is>
          <t>USD</t>
        </is>
      </c>
      <c r="F199" t="inlineStr">
        <is>
          <t>USD</t>
        </is>
      </c>
      <c r="G199" t="n">
        <v>220300</v>
      </c>
      <c r="H199" t="inlineStr">
        <is>
          <t>2035-11-14T23:00:00Z</t>
        </is>
      </c>
      <c r="I199" t="n">
        <v>0.04984</v>
      </c>
      <c r="J199" t="n">
        <v>98.40858374943259</v>
      </c>
      <c r="K199" t="n">
        <v>92.935</v>
      </c>
      <c r="L199" t="n">
        <v>1</v>
      </c>
      <c r="M199" t="n">
        <v>208710.79</v>
      </c>
      <c r="N199" t="n">
        <v>3974.98</v>
      </c>
      <c r="O199" t="n">
        <v>-5.56209760495799</v>
      </c>
      <c r="P199" t="n">
        <v>-5.56209760495799</v>
      </c>
      <c r="Q199" t="n">
        <v>4.26105305291495</v>
      </c>
    </row>
    <row r="200">
      <c r="A200" t="inlineStr">
        <is>
          <t>4% United States Treasury Notes 15.11.2035 Senior</t>
        </is>
      </c>
      <c r="B200" t="inlineStr">
        <is>
          <t>US91282CPJ44</t>
        </is>
      </c>
      <c r="C200" t="inlineStr">
        <is>
          <t>Bucchioni, Fabio</t>
        </is>
      </c>
      <c r="D200" t="n">
        <v>1592092.001</v>
      </c>
      <c r="E200" t="inlineStr">
        <is>
          <t>USD</t>
        </is>
      </c>
      <c r="F200" t="inlineStr">
        <is>
          <t>EUR</t>
        </is>
      </c>
      <c r="G200" t="n">
        <v>24100</v>
      </c>
      <c r="H200" t="inlineStr">
        <is>
          <t>2035-11-14T23:00:00Z</t>
        </is>
      </c>
      <c r="I200" t="n">
        <v>0.04984</v>
      </c>
      <c r="J200" t="n">
        <v>98.3295850622406</v>
      </c>
      <c r="K200" t="n">
        <v>92.935</v>
      </c>
      <c r="L200" t="n">
        <v>1.1144</v>
      </c>
      <c r="M200" t="n">
        <v>22832.19</v>
      </c>
      <c r="N200" t="n">
        <v>434.85</v>
      </c>
      <c r="O200" t="n">
        <v>-5.48620673212242</v>
      </c>
      <c r="P200" t="n">
        <v>-1.2850865516574</v>
      </c>
      <c r="Q200" t="n">
        <v>4.15630262135242</v>
      </c>
    </row>
    <row r="201">
      <c r="A201" t="inlineStr">
        <is>
          <t>4% United States Treasury Notes 15.11.2035 Senior</t>
        </is>
      </c>
      <c r="B201" t="inlineStr">
        <is>
          <t>US91282CPJ44</t>
        </is>
      </c>
      <c r="C201" t="inlineStr">
        <is>
          <t>Alemagna, Alberto Pietro</t>
        </is>
      </c>
      <c r="D201" t="n">
        <v>1627998.001</v>
      </c>
      <c r="E201" t="inlineStr">
        <is>
          <t>USD</t>
        </is>
      </c>
      <c r="F201" t="inlineStr">
        <is>
          <t>EUR</t>
        </is>
      </c>
      <c r="G201" t="n">
        <v>137600</v>
      </c>
      <c r="H201" t="inlineStr">
        <is>
          <t>2035-11-14T23:00:00Z</t>
        </is>
      </c>
      <c r="I201" t="n">
        <v>0.04984</v>
      </c>
      <c r="J201" t="n">
        <v>98.32268168604649</v>
      </c>
      <c r="K201" t="n">
        <v>92.935</v>
      </c>
      <c r="L201" t="n">
        <v>1.1144</v>
      </c>
      <c r="M201" t="n">
        <v>130361.34</v>
      </c>
      <c r="N201" t="n">
        <v>2482.78</v>
      </c>
      <c r="O201" t="n">
        <v>-5.47959188425096</v>
      </c>
      <c r="P201" t="n">
        <v>-1.27809853462091</v>
      </c>
      <c r="Q201" t="n">
        <v>4.13987410057003</v>
      </c>
    </row>
    <row r="202">
      <c r="A202" t="inlineStr">
        <is>
          <t>4% United States Treasury Notes 15.11.2035 Senior</t>
        </is>
      </c>
      <c r="B202" t="inlineStr">
        <is>
          <t>US91282CPJ44</t>
        </is>
      </c>
      <c r="C202" t="inlineStr">
        <is>
          <t>Simon Fiduciaria S.p.A. - POS. FID. 6297</t>
        </is>
      </c>
      <c r="D202" t="n">
        <v>1660666.001</v>
      </c>
      <c r="E202" t="inlineStr">
        <is>
          <t>USD</t>
        </is>
      </c>
      <c r="F202" t="inlineStr">
        <is>
          <t>EUR</t>
        </is>
      </c>
      <c r="G202" t="n">
        <v>180400</v>
      </c>
      <c r="H202" t="inlineStr">
        <is>
          <t>2035-11-14T23:00:00Z</t>
        </is>
      </c>
      <c r="I202" t="n">
        <v>0.04984</v>
      </c>
      <c r="J202" t="n">
        <v>98.3233314855875</v>
      </c>
      <c r="K202" t="n">
        <v>92.935</v>
      </c>
      <c r="L202" t="n">
        <v>1.1144</v>
      </c>
      <c r="M202" t="n">
        <v>170909.78</v>
      </c>
      <c r="N202" t="n">
        <v>3255.04</v>
      </c>
      <c r="O202" t="n">
        <v>-5.48021655102015</v>
      </c>
      <c r="P202" t="n">
        <v>-1.27875400084338</v>
      </c>
      <c r="Q202" t="n">
        <v>4.07115647841476</v>
      </c>
    </row>
    <row r="203">
      <c r="A203" t="inlineStr">
        <is>
          <t>4% United States Treasury Notes 15.11.2035 Senior</t>
        </is>
      </c>
      <c r="B203" t="inlineStr">
        <is>
          <t>US91282CPJ44</t>
        </is>
      </c>
      <c r="C203" t="inlineStr">
        <is>
          <t>Marchesi, Riccardo</t>
        </is>
      </c>
      <c r="D203" t="n">
        <v>1592866.001</v>
      </c>
      <c r="E203" t="inlineStr">
        <is>
          <t>USD</t>
        </is>
      </c>
      <c r="F203" t="inlineStr">
        <is>
          <t>EUR</t>
        </is>
      </c>
      <c r="G203" t="n">
        <v>62600</v>
      </c>
      <c r="H203" t="inlineStr">
        <is>
          <t>2035-11-14T23:00:00Z</t>
        </is>
      </c>
      <c r="I203" t="n">
        <v>0.04984</v>
      </c>
      <c r="J203" t="n">
        <v>98.3238977635782</v>
      </c>
      <c r="K203" t="n">
        <v>92.935</v>
      </c>
      <c r="L203" t="n">
        <v>1.1144</v>
      </c>
      <c r="M203" t="n">
        <v>59306.83</v>
      </c>
      <c r="N203" t="n">
        <v>1129.52</v>
      </c>
      <c r="O203" t="n">
        <v>-5.48076091993015</v>
      </c>
      <c r="P203" t="n">
        <v>-1.27930556036208</v>
      </c>
      <c r="Q203" t="n">
        <v>4.16385002834764</v>
      </c>
    </row>
    <row r="204">
      <c r="A204" t="inlineStr">
        <is>
          <t>4% United States Treasury Notes 15.11.2035 Senior</t>
        </is>
      </c>
      <c r="B204" t="inlineStr">
        <is>
          <t>US91282CPJ44</t>
        </is>
      </c>
      <c r="C204" t="inlineStr">
        <is>
          <t>Saira Holding S.r.L.</t>
        </is>
      </c>
      <c r="D204" t="n">
        <v>1690341.001</v>
      </c>
      <c r="E204" t="inlineStr">
        <is>
          <t>USD</t>
        </is>
      </c>
      <c r="F204" t="inlineStr">
        <is>
          <t>EUR</t>
        </is>
      </c>
      <c r="G204" t="n">
        <v>8400</v>
      </c>
      <c r="H204" t="inlineStr">
        <is>
          <t>2035-11-14T23:00:00Z</t>
        </is>
      </c>
      <c r="I204" t="n">
        <v>0.04984</v>
      </c>
      <c r="J204" t="n">
        <v>98.31630952380949</v>
      </c>
      <c r="K204" t="n">
        <v>92.935</v>
      </c>
      <c r="L204" t="n">
        <v>1.1144</v>
      </c>
      <c r="M204" t="n">
        <v>7958.11</v>
      </c>
      <c r="N204" t="n">
        <v>151.57</v>
      </c>
      <c r="O204" t="n">
        <v>-5.47346574528035</v>
      </c>
      <c r="P204" t="n">
        <v>-1.27158358808697</v>
      </c>
      <c r="Q204" t="n">
        <v>4.15737388815597</v>
      </c>
    </row>
    <row r="205">
      <c r="A205" t="inlineStr">
        <is>
          <t>4% United States Treasury Notes 15.11.2035 Senior</t>
        </is>
      </c>
      <c r="B205" t="inlineStr">
        <is>
          <t>US91282CPJ44</t>
        </is>
      </c>
      <c r="C205" t="inlineStr">
        <is>
          <t>Minardi, Mario Paolo</t>
        </is>
      </c>
      <c r="D205" t="n">
        <v>1650579.001</v>
      </c>
      <c r="E205" t="inlineStr">
        <is>
          <t>USD</t>
        </is>
      </c>
      <c r="F205" t="inlineStr">
        <is>
          <t>EUR</t>
        </is>
      </c>
      <c r="G205" t="n">
        <v>27600</v>
      </c>
      <c r="H205" t="inlineStr">
        <is>
          <t>2035-11-14T23:00:00Z</t>
        </is>
      </c>
      <c r="I205" t="n">
        <v>0.04984</v>
      </c>
      <c r="J205" t="n">
        <v>98.3261594202898</v>
      </c>
      <c r="K205" t="n">
        <v>92.935</v>
      </c>
      <c r="L205" t="n">
        <v>1.1144</v>
      </c>
      <c r="M205" t="n">
        <v>26148.06</v>
      </c>
      <c r="N205" t="n">
        <v>498</v>
      </c>
      <c r="O205" t="n">
        <v>-5.48293501147099</v>
      </c>
      <c r="P205" t="n">
        <v>-1.2816311685014</v>
      </c>
      <c r="Q205" t="n">
        <v>4.16720726281309</v>
      </c>
    </row>
    <row r="206">
      <c r="A206" t="inlineStr">
        <is>
          <t>4% United States Treasury Notes 15.11.2035 Senior</t>
        </is>
      </c>
      <c r="B206" t="inlineStr">
        <is>
          <t>US91282CPJ44</t>
        </is>
      </c>
      <c r="C206" t="inlineStr">
        <is>
          <t>Cariboni, Elisa</t>
        </is>
      </c>
      <c r="D206" t="n">
        <v>1600379.001</v>
      </c>
      <c r="E206" t="inlineStr">
        <is>
          <t>USD</t>
        </is>
      </c>
      <c r="F206" t="inlineStr">
        <is>
          <t>EUR</t>
        </is>
      </c>
      <c r="G206" t="n">
        <v>63000</v>
      </c>
      <c r="H206" t="inlineStr">
        <is>
          <t>2035-11-14T23:00:00Z</t>
        </is>
      </c>
      <c r="I206" t="n">
        <v>0.04984</v>
      </c>
      <c r="J206" t="n">
        <v>98.32428571428569</v>
      </c>
      <c r="K206" t="n">
        <v>92.935</v>
      </c>
      <c r="L206" t="n">
        <v>1.1144</v>
      </c>
      <c r="M206" t="n">
        <v>59685.79</v>
      </c>
      <c r="N206" t="n">
        <v>1136.74</v>
      </c>
      <c r="O206" t="n">
        <v>-5.48113385735249</v>
      </c>
      <c r="P206" t="n">
        <v>-1.27972748854795</v>
      </c>
      <c r="Q206" t="n">
        <v>4.16977096890698</v>
      </c>
    </row>
    <row r="207">
      <c r="A207" t="inlineStr">
        <is>
          <t>4% United States Treasury Notes 15.11.2035 Senior</t>
        </is>
      </c>
      <c r="B207" t="inlineStr">
        <is>
          <t>US91282CPJ44</t>
        </is>
      </c>
      <c r="C207" t="inlineStr">
        <is>
          <t>Hera Società Fiduciaria e di revisione S.p.A. -   05250</t>
        </is>
      </c>
      <c r="D207" t="n">
        <v>1696403.001</v>
      </c>
      <c r="E207" t="inlineStr">
        <is>
          <t>USD</t>
        </is>
      </c>
      <c r="F207" t="inlineStr">
        <is>
          <t>EUR</t>
        </is>
      </c>
      <c r="G207" t="n">
        <v>35700</v>
      </c>
      <c r="H207" t="inlineStr">
        <is>
          <t>2035-11-14T23:00:00Z</t>
        </is>
      </c>
      <c r="I207" t="n">
        <v>0.04984</v>
      </c>
      <c r="J207" t="n">
        <v>98.3149859943977</v>
      </c>
      <c r="K207" t="n">
        <v>92.935</v>
      </c>
      <c r="L207" t="n">
        <v>1.1144</v>
      </c>
      <c r="M207" t="n">
        <v>33821.95</v>
      </c>
      <c r="N207" t="n">
        <v>644.15</v>
      </c>
      <c r="O207" t="n">
        <v>-5.47217897086623</v>
      </c>
      <c r="P207" t="n">
        <v>-1.27035524911147</v>
      </c>
      <c r="Q207" t="n">
        <v>4.64115723174874</v>
      </c>
    </row>
    <row r="208">
      <c r="A208" t="inlineStr">
        <is>
          <t>4% United States Treasury Notes 15.11.2035 Senior</t>
        </is>
      </c>
      <c r="B208" t="inlineStr">
        <is>
          <t>US91282CPJ44</t>
        </is>
      </c>
      <c r="C208" t="inlineStr">
        <is>
          <t>Lettieri, Riccardo</t>
        </is>
      </c>
      <c r="D208" t="n">
        <v>1660765.001</v>
      </c>
      <c r="E208" t="inlineStr">
        <is>
          <t>USD</t>
        </is>
      </c>
      <c r="F208" t="inlineStr">
        <is>
          <t>EUR</t>
        </is>
      </c>
      <c r="G208" t="n">
        <v>54400</v>
      </c>
      <c r="H208" t="inlineStr">
        <is>
          <t>2035-11-14T23:00:00Z</t>
        </is>
      </c>
      <c r="I208" t="n">
        <v>0.04984</v>
      </c>
      <c r="J208" t="n">
        <v>98.3211213235294</v>
      </c>
      <c r="K208" t="n">
        <v>92.935</v>
      </c>
      <c r="L208" t="n">
        <v>1.1144</v>
      </c>
      <c r="M208" t="n">
        <v>51538.21</v>
      </c>
      <c r="N208" t="n">
        <v>981.5700000000001</v>
      </c>
      <c r="O208" t="n">
        <v>-5.47809183929684</v>
      </c>
      <c r="P208" t="n">
        <v>-1.27652064232112</v>
      </c>
      <c r="Q208" t="n">
        <v>5.58470704055761</v>
      </c>
    </row>
    <row r="209">
      <c r="A209" t="inlineStr">
        <is>
          <t>4% United States Treasury Notes 15.11.2035 Senior</t>
        </is>
      </c>
      <c r="B209" t="inlineStr">
        <is>
          <t>US91282CPJ44</t>
        </is>
      </c>
      <c r="C209" t="inlineStr">
        <is>
          <t>Alemagna, Tancredi Luigi</t>
        </is>
      </c>
      <c r="D209" t="n">
        <v>1619782.001</v>
      </c>
      <c r="E209" t="inlineStr">
        <is>
          <t>USD</t>
        </is>
      </c>
      <c r="F209" t="inlineStr">
        <is>
          <t>EUR</t>
        </is>
      </c>
      <c r="G209" t="n">
        <v>136100</v>
      </c>
      <c r="H209" t="inlineStr">
        <is>
          <t>2035-11-14T23:00:00Z</t>
        </is>
      </c>
      <c r="I209" t="n">
        <v>0.04984</v>
      </c>
      <c r="J209" t="n">
        <v>98.3215650257163</v>
      </c>
      <c r="K209" t="n">
        <v>92.935</v>
      </c>
      <c r="L209" t="n">
        <v>1.1144</v>
      </c>
      <c r="M209" t="n">
        <v>128940.26</v>
      </c>
      <c r="N209" t="n">
        <v>2455.72</v>
      </c>
      <c r="O209" t="n">
        <v>-5.47851465803887</v>
      </c>
      <c r="P209" t="n">
        <v>-1.27696873951299</v>
      </c>
      <c r="Q209" t="n">
        <v>4.42685967906462</v>
      </c>
    </row>
    <row r="210">
      <c r="A210" t="inlineStr">
        <is>
          <t>4% United States Treasury Notes 15.11.2035 Senior</t>
        </is>
      </c>
      <c r="B210" t="inlineStr">
        <is>
          <t>US91282CPJ44</t>
        </is>
      </c>
      <c r="C210" t="inlineStr">
        <is>
          <t>Terenzi, Federico</t>
        </is>
      </c>
      <c r="D210" t="n">
        <v>1620379.001</v>
      </c>
      <c r="E210" t="inlineStr">
        <is>
          <t>USD</t>
        </is>
      </c>
      <c r="F210" t="inlineStr">
        <is>
          <t>EUR</t>
        </is>
      </c>
      <c r="G210" t="n">
        <v>7700</v>
      </c>
      <c r="H210" t="inlineStr">
        <is>
          <t>2035-11-14T23:00:00Z</t>
        </is>
      </c>
      <c r="I210" t="n">
        <v>0.04984</v>
      </c>
      <c r="J210" t="n">
        <v>98.2868831168831</v>
      </c>
      <c r="K210" t="n">
        <v>92.935</v>
      </c>
      <c r="L210" t="n">
        <v>1.1144</v>
      </c>
      <c r="M210" t="n">
        <v>7294.93</v>
      </c>
      <c r="N210" t="n">
        <v>138.93</v>
      </c>
      <c r="O210" t="n">
        <v>-5.44509909369471</v>
      </c>
      <c r="P210" t="n">
        <v>-1.24194848259272</v>
      </c>
      <c r="Q210" t="n">
        <v>5.36301246125189</v>
      </c>
    </row>
    <row r="211">
      <c r="A211" t="inlineStr">
        <is>
          <t>4% United States Treasury Notes 15.11.2035 Senior</t>
        </is>
      </c>
      <c r="B211" t="inlineStr">
        <is>
          <t>US91282CPJ44</t>
        </is>
      </c>
      <c r="C211" t="inlineStr">
        <is>
          <t>Simon Fiduciaria S.p.A. - POS. FID. 6297</t>
        </is>
      </c>
      <c r="D211" t="n">
        <v>1660666.003</v>
      </c>
      <c r="E211" t="inlineStr">
        <is>
          <t>USD</t>
        </is>
      </c>
      <c r="F211" t="inlineStr">
        <is>
          <t>EUR</t>
        </is>
      </c>
      <c r="G211" t="n">
        <v>132500</v>
      </c>
      <c r="H211" t="inlineStr">
        <is>
          <t>2035-11-14T23:00:00Z</t>
        </is>
      </c>
      <c r="I211" t="n">
        <v>0.04984</v>
      </c>
      <c r="J211" t="n">
        <v>98.3224679245283</v>
      </c>
      <c r="K211" t="n">
        <v>92.935</v>
      </c>
      <c r="L211" t="n">
        <v>1.1144</v>
      </c>
      <c r="M211" t="n">
        <v>125529.64</v>
      </c>
      <c r="N211" t="n">
        <v>2390.76</v>
      </c>
      <c r="O211" t="n">
        <v>-5.47938255077036</v>
      </c>
      <c r="P211" t="n">
        <v>-1.27787868475123</v>
      </c>
      <c r="Q211" t="n">
        <v>4.21379648171011</v>
      </c>
    </row>
    <row r="212">
      <c r="A212" t="inlineStr">
        <is>
          <t>4% United States Treasury Notes 15.11.2035 Senior</t>
        </is>
      </c>
      <c r="B212" t="inlineStr">
        <is>
          <t>US91282CPJ44</t>
        </is>
      </c>
      <c r="C212" t="inlineStr">
        <is>
          <t>Fariniundici S.p.A.</t>
        </is>
      </c>
      <c r="D212" t="n">
        <v>1644446.001</v>
      </c>
      <c r="E212" t="inlineStr">
        <is>
          <t>USD</t>
        </is>
      </c>
      <c r="F212" t="inlineStr">
        <is>
          <t>EUR</t>
        </is>
      </c>
      <c r="G212" t="n">
        <v>527300</v>
      </c>
      <c r="H212" t="inlineStr">
        <is>
          <t>2035-11-14T23:00:00Z</t>
        </is>
      </c>
      <c r="I212" t="n">
        <v>0.04984</v>
      </c>
      <c r="J212" t="n">
        <v>98.7100379290726</v>
      </c>
      <c r="K212" t="n">
        <v>92.935</v>
      </c>
      <c r="L212" t="n">
        <v>1.1144</v>
      </c>
      <c r="M212" t="n">
        <v>499560.59</v>
      </c>
      <c r="N212" t="n">
        <v>9514.33</v>
      </c>
      <c r="O212" t="n">
        <v>-5.85050629298251</v>
      </c>
      <c r="P212" t="n">
        <v>-1.22779224468304</v>
      </c>
      <c r="Q212" t="n">
        <v>4.11658364892244</v>
      </c>
    </row>
    <row r="213">
      <c r="A213" t="inlineStr">
        <is>
          <t>4% United States Treasury Notes 15.11.2035 Senior</t>
        </is>
      </c>
      <c r="B213" t="inlineStr">
        <is>
          <t>US91282CPJ44</t>
        </is>
      </c>
      <c r="C213" t="inlineStr">
        <is>
          <t>Bertini, Marco</t>
        </is>
      </c>
      <c r="D213" t="n">
        <v>112029.001</v>
      </c>
      <c r="E213" t="inlineStr">
        <is>
          <t>USD</t>
        </is>
      </c>
      <c r="F213" t="inlineStr">
        <is>
          <t>USD</t>
        </is>
      </c>
      <c r="G213" t="n">
        <v>72100</v>
      </c>
      <c r="H213" t="inlineStr">
        <is>
          <t>2035-11-14T23:00:00Z</t>
        </is>
      </c>
      <c r="I213" t="n">
        <v>0.04984</v>
      </c>
      <c r="J213" t="n">
        <v>98.3857004160887</v>
      </c>
      <c r="K213" t="n">
        <v>92.935</v>
      </c>
      <c r="L213" t="n">
        <v>1</v>
      </c>
      <c r="M213" t="n">
        <v>68307.07000000001</v>
      </c>
      <c r="N213" t="n">
        <v>1300.93</v>
      </c>
      <c r="O213" t="n">
        <v>-5.5401277403364</v>
      </c>
      <c r="P213" t="n">
        <v>-5.5401277403364</v>
      </c>
      <c r="Q213" t="n">
        <v>4.41914172239034</v>
      </c>
    </row>
    <row r="214">
      <c r="A214" t="inlineStr">
        <is>
          <t>4% United States Treasury Notes 15.11.2035 Senior</t>
        </is>
      </c>
      <c r="B214" t="inlineStr">
        <is>
          <t>US91282CPJ44</t>
        </is>
      </c>
      <c r="C214" t="inlineStr">
        <is>
          <t>Ancona, Giselda</t>
        </is>
      </c>
      <c r="D214" t="n">
        <v>1648638.001</v>
      </c>
      <c r="E214" t="inlineStr">
        <is>
          <t>USD</t>
        </is>
      </c>
      <c r="F214" t="inlineStr">
        <is>
          <t>EUR</t>
        </is>
      </c>
      <c r="G214" t="n">
        <v>48700</v>
      </c>
      <c r="H214" t="inlineStr">
        <is>
          <t>2035-11-14T23:00:00Z</t>
        </is>
      </c>
      <c r="I214" t="n">
        <v>0.04984</v>
      </c>
      <c r="J214" t="n">
        <v>98.319568788501</v>
      </c>
      <c r="K214" t="n">
        <v>92.935</v>
      </c>
      <c r="L214" t="n">
        <v>1.1144</v>
      </c>
      <c r="M214" t="n">
        <v>46138.07</v>
      </c>
      <c r="N214" t="n">
        <v>878.72</v>
      </c>
      <c r="O214" t="n">
        <v>-5.47658882957827</v>
      </c>
      <c r="P214" t="n">
        <v>-1.27496441685577</v>
      </c>
      <c r="Q214" t="n">
        <v>4.26731489628517</v>
      </c>
    </row>
    <row r="215">
      <c r="A215" t="inlineStr">
        <is>
          <t>4% United States Treasury Notes 15.11.2035 Senior</t>
        </is>
      </c>
      <c r="B215" t="inlineStr">
        <is>
          <t>US91282CPJ44</t>
        </is>
      </c>
      <c r="C215" t="inlineStr">
        <is>
          <t>Virlinzi, Francesco</t>
        </is>
      </c>
      <c r="D215" t="n">
        <v>1648903.001</v>
      </c>
      <c r="E215" t="inlineStr">
        <is>
          <t>USD</t>
        </is>
      </c>
      <c r="F215" t="inlineStr">
        <is>
          <t>EUR</t>
        </is>
      </c>
      <c r="G215" t="n">
        <v>454900</v>
      </c>
      <c r="H215" t="inlineStr">
        <is>
          <t>2035-11-14T23:00:00Z</t>
        </is>
      </c>
      <c r="I215" t="n">
        <v>0.04984</v>
      </c>
      <c r="J215" t="n">
        <v>98.3227192789624</v>
      </c>
      <c r="K215" t="n">
        <v>92.935</v>
      </c>
      <c r="L215" t="n">
        <v>1.1144</v>
      </c>
      <c r="M215" t="n">
        <v>430969.3</v>
      </c>
      <c r="N215" t="n">
        <v>8207.98</v>
      </c>
      <c r="O215" t="n">
        <v>-5.47962690549031</v>
      </c>
      <c r="P215" t="n">
        <v>-1.27813428110496</v>
      </c>
      <c r="Q215" t="n">
        <v>4.1726613679492</v>
      </c>
    </row>
    <row r="216">
      <c r="A216" t="inlineStr">
        <is>
          <t>4% United States Treasury Notes 15.11.2035 Senior</t>
        </is>
      </c>
      <c r="B216" t="inlineStr">
        <is>
          <t>US91282CPJ44</t>
        </is>
      </c>
      <c r="C216" t="inlineStr">
        <is>
          <t>Malerba, Maria Clara</t>
        </is>
      </c>
      <c r="D216" t="n">
        <v>1632673.001</v>
      </c>
      <c r="E216" t="inlineStr">
        <is>
          <t>USD</t>
        </is>
      </c>
      <c r="F216" t="inlineStr">
        <is>
          <t>EUR</t>
        </is>
      </c>
      <c r="G216" t="n">
        <v>268000</v>
      </c>
      <c r="H216" t="inlineStr">
        <is>
          <t>2035-11-14T23:00:00Z</t>
        </is>
      </c>
      <c r="I216" t="n">
        <v>0.04984</v>
      </c>
      <c r="J216" t="n">
        <v>98.321869402985</v>
      </c>
      <c r="K216" t="n">
        <v>92.935</v>
      </c>
      <c r="L216" t="n">
        <v>1.1144</v>
      </c>
      <c r="M216" t="n">
        <v>253901.45</v>
      </c>
      <c r="N216" t="n">
        <v>4835.65</v>
      </c>
      <c r="O216" t="n">
        <v>-5.47881100684353</v>
      </c>
      <c r="P216" t="n">
        <v>-1.27727992573911</v>
      </c>
      <c r="Q216" t="n">
        <v>4.3310625086272</v>
      </c>
    </row>
    <row r="217">
      <c r="A217" t="inlineStr">
        <is>
          <t>4% United States Treasury Notes 15.11.2035 Senior</t>
        </is>
      </c>
      <c r="B217" t="inlineStr">
        <is>
          <t>US91282CPJ44</t>
        </is>
      </c>
      <c r="C217" t="inlineStr">
        <is>
          <t>Galli, Federico</t>
        </is>
      </c>
      <c r="D217" t="n">
        <v>1621661.001</v>
      </c>
      <c r="E217" t="inlineStr">
        <is>
          <t>USD</t>
        </is>
      </c>
      <c r="F217" t="inlineStr">
        <is>
          <t>EUR</t>
        </is>
      </c>
      <c r="G217" t="n">
        <v>33200</v>
      </c>
      <c r="H217" t="inlineStr">
        <is>
          <t>2035-11-14T23:00:00Z</t>
        </is>
      </c>
      <c r="I217" t="n">
        <v>0.04984</v>
      </c>
      <c r="J217" t="n">
        <v>98.2482831325301</v>
      </c>
      <c r="K217" t="n">
        <v>92.935</v>
      </c>
      <c r="L217" t="n">
        <v>1.1144</v>
      </c>
      <c r="M217" t="n">
        <v>31453.46</v>
      </c>
      <c r="N217" t="n">
        <v>599.04</v>
      </c>
      <c r="O217" t="n">
        <v>-5.40801626565104</v>
      </c>
      <c r="P217" t="n">
        <v>-0.895863036441261</v>
      </c>
      <c r="Q217" t="n">
        <v>5.13130037156486</v>
      </c>
    </row>
    <row r="218">
      <c r="A218" t="inlineStr">
        <is>
          <t>4% United States Treasury Notes 15.11.2035 Senior</t>
        </is>
      </c>
      <c r="B218" t="inlineStr">
        <is>
          <t>US91282CPJ44</t>
        </is>
      </c>
      <c r="C218" t="inlineStr">
        <is>
          <t>BISVALLES ASSETS INC.</t>
        </is>
      </c>
      <c r="D218" t="n">
        <v>1649314.001</v>
      </c>
      <c r="E218" t="inlineStr">
        <is>
          <t>USD</t>
        </is>
      </c>
      <c r="F218" t="inlineStr">
        <is>
          <t>EUR</t>
        </is>
      </c>
      <c r="G218" t="n">
        <v>475700</v>
      </c>
      <c r="H218" t="inlineStr">
        <is>
          <t>2035-11-14T23:00:00Z</t>
        </is>
      </c>
      <c r="I218" t="n">
        <v>0.04984</v>
      </c>
      <c r="J218" t="n">
        <v>98.7104141265503</v>
      </c>
      <c r="K218" t="n">
        <v>92.935</v>
      </c>
      <c r="L218" t="n">
        <v>1.1144</v>
      </c>
      <c r="M218" t="n">
        <v>450675.08</v>
      </c>
      <c r="N218" t="n">
        <v>8583.280000000001</v>
      </c>
      <c r="O218" t="n">
        <v>-5.85086500403436</v>
      </c>
      <c r="P218" t="n">
        <v>-1.22937243850137</v>
      </c>
      <c r="Q218" t="n">
        <v>4.17509736824343</v>
      </c>
    </row>
    <row r="219">
      <c r="A219" t="inlineStr">
        <is>
          <t>4% United States Treasury Notes 15.11.2035 Senior</t>
        </is>
      </c>
      <c r="B219" t="inlineStr">
        <is>
          <t>US91282CPJ44</t>
        </is>
      </c>
      <c r="C219" t="inlineStr">
        <is>
          <t>Laruffa, Serena</t>
        </is>
      </c>
      <c r="D219" t="n">
        <v>1596193.001</v>
      </c>
      <c r="E219" t="inlineStr">
        <is>
          <t>USD</t>
        </is>
      </c>
      <c r="F219" t="inlineStr">
        <is>
          <t>EUR</t>
        </is>
      </c>
      <c r="G219" t="n">
        <v>166100</v>
      </c>
      <c r="H219" t="inlineStr">
        <is>
          <t>2035-11-14T23:00:00Z</t>
        </is>
      </c>
      <c r="I219" t="n">
        <v>0.04984</v>
      </c>
      <c r="J219" t="n">
        <v>98.3218723660445</v>
      </c>
      <c r="K219" t="n">
        <v>92.935</v>
      </c>
      <c r="L219" t="n">
        <v>1.1144</v>
      </c>
      <c r="M219" t="n">
        <v>157362.06</v>
      </c>
      <c r="N219" t="n">
        <v>2997.02</v>
      </c>
      <c r="O219" t="n">
        <v>-5.47881079375183</v>
      </c>
      <c r="P219" t="n">
        <v>-1.27728072607481</v>
      </c>
      <c r="Q219" t="n">
        <v>4.63623806324478</v>
      </c>
    </row>
    <row r="220">
      <c r="A220" t="inlineStr">
        <is>
          <t>4% United States Treasury Notes 15.11.2035 Senior</t>
        </is>
      </c>
      <c r="B220" t="inlineStr">
        <is>
          <t>US91282CPJ44</t>
        </is>
      </c>
      <c r="C220" t="inlineStr">
        <is>
          <t>Hera Società Fiduciaria e di revisione S.p.A. - - 05361</t>
        </is>
      </c>
      <c r="D220" t="n">
        <v>1706128.001</v>
      </c>
      <c r="E220" t="inlineStr">
        <is>
          <t>USD</t>
        </is>
      </c>
      <c r="F220" t="inlineStr">
        <is>
          <t>EUR</t>
        </is>
      </c>
      <c r="G220" t="n">
        <v>50300</v>
      </c>
      <c r="H220" t="inlineStr">
        <is>
          <t>2035-11-14T23:00:00Z</t>
        </is>
      </c>
      <c r="I220" t="n">
        <v>0.04984</v>
      </c>
      <c r="J220" t="n">
        <v>98.3216500994035</v>
      </c>
      <c r="K220" t="n">
        <v>92.935</v>
      </c>
      <c r="L220" t="n">
        <v>1.1144</v>
      </c>
      <c r="M220" t="n">
        <v>47653.9</v>
      </c>
      <c r="N220" t="n">
        <v>907.59</v>
      </c>
      <c r="O220" t="n">
        <v>-5.47859007004033</v>
      </c>
      <c r="P220" t="n">
        <v>-1.27705324083444</v>
      </c>
      <c r="Q220" t="n">
        <v>4.22285384952288</v>
      </c>
    </row>
    <row r="221">
      <c r="A221" t="inlineStr">
        <is>
          <t>4% United States Treasury Notes 15.11.2035 Senior</t>
        </is>
      </c>
      <c r="B221" t="inlineStr">
        <is>
          <t>US91282CPJ44</t>
        </is>
      </c>
      <c r="C221" t="inlineStr">
        <is>
          <t>Lettieri, Umberto</t>
        </is>
      </c>
      <c r="D221" t="n">
        <v>1710712.001</v>
      </c>
      <c r="E221" t="inlineStr">
        <is>
          <t>USD</t>
        </is>
      </c>
      <c r="F221" t="inlineStr">
        <is>
          <t>USD</t>
        </is>
      </c>
      <c r="G221" t="n">
        <v>72000</v>
      </c>
      <c r="H221" t="inlineStr">
        <is>
          <t>2035-11-14T23:00:00Z</t>
        </is>
      </c>
      <c r="I221" t="n">
        <v>0.04984</v>
      </c>
      <c r="J221" t="n">
        <v>97.890625</v>
      </c>
      <c r="K221" t="n">
        <v>92.935</v>
      </c>
      <c r="L221" t="n">
        <v>1</v>
      </c>
      <c r="M221" t="n">
        <v>68212.33</v>
      </c>
      <c r="N221" t="n">
        <v>1299.13</v>
      </c>
      <c r="O221" t="n">
        <v>-5.06241021548284</v>
      </c>
      <c r="P221" t="n">
        <v>-5.06241021548284</v>
      </c>
      <c r="Q221" t="n">
        <v>4.73427309944097</v>
      </c>
    </row>
    <row r="222">
      <c r="A222" t="inlineStr">
        <is>
          <t>4% United States Treasury Notes 15.11.2035 Senior</t>
        </is>
      </c>
      <c r="B222" t="inlineStr">
        <is>
          <t>US91282CPJ44</t>
        </is>
      </c>
      <c r="C222" t="inlineStr">
        <is>
          <t>Laruffa, Alessia</t>
        </is>
      </c>
      <c r="D222" t="n">
        <v>1596151.001</v>
      </c>
      <c r="E222" t="inlineStr">
        <is>
          <t>USD</t>
        </is>
      </c>
      <c r="F222" t="inlineStr">
        <is>
          <t>EUR</t>
        </is>
      </c>
      <c r="G222" t="n">
        <v>131300</v>
      </c>
      <c r="H222" t="inlineStr">
        <is>
          <t>2035-11-14T23:00:00Z</t>
        </is>
      </c>
      <c r="I222" t="n">
        <v>0.04984</v>
      </c>
      <c r="J222" t="n">
        <v>98.32189642041121</v>
      </c>
      <c r="K222" t="n">
        <v>92.935</v>
      </c>
      <c r="L222" t="n">
        <v>1.1144</v>
      </c>
      <c r="M222" t="n">
        <v>124392.77</v>
      </c>
      <c r="N222" t="n">
        <v>2369.11</v>
      </c>
      <c r="O222" t="n">
        <v>-5.47883310682345</v>
      </c>
      <c r="P222" t="n">
        <v>-1.27731191238115</v>
      </c>
      <c r="Q222" t="n">
        <v>4.80090587427625</v>
      </c>
    </row>
    <row r="223">
      <c r="A223" t="inlineStr">
        <is>
          <t>4% United States Treasury Notes 15.11.2035 Senior</t>
        </is>
      </c>
      <c r="B223" t="inlineStr">
        <is>
          <t>US91282CPJ44</t>
        </is>
      </c>
      <c r="C223" t="inlineStr">
        <is>
          <t>Siciliano, Rosanna</t>
        </is>
      </c>
      <c r="D223" t="n">
        <v>1597944.001</v>
      </c>
      <c r="E223" t="inlineStr">
        <is>
          <t>USD</t>
        </is>
      </c>
      <c r="F223" t="inlineStr">
        <is>
          <t>EUR</t>
        </is>
      </c>
      <c r="G223" t="n">
        <v>95400</v>
      </c>
      <c r="H223" t="inlineStr">
        <is>
          <t>2035-11-14T23:00:00Z</t>
        </is>
      </c>
      <c r="I223" t="n">
        <v>0.04984</v>
      </c>
      <c r="J223" t="n">
        <v>98.3218553459119</v>
      </c>
      <c r="K223" t="n">
        <v>92.935</v>
      </c>
      <c r="L223" t="n">
        <v>1.1144</v>
      </c>
      <c r="M223" t="n">
        <v>90381.34</v>
      </c>
      <c r="N223" t="n">
        <v>1721.35</v>
      </c>
      <c r="O223" t="n">
        <v>-5.47879749315158</v>
      </c>
      <c r="P223" t="n">
        <v>-1.27727846827347</v>
      </c>
      <c r="Q223" t="n">
        <v>4.84232720282485</v>
      </c>
    </row>
    <row r="224">
      <c r="A224" t="inlineStr">
        <is>
          <t>4% United States Treasury Notes 30.06.2032 Senior</t>
        </is>
      </c>
      <c r="B224" t="inlineStr">
        <is>
          <t>US91282CNJ61</t>
        </is>
      </c>
      <c r="C224" t="inlineStr">
        <is>
          <t>Petrassi, Raffaele</t>
        </is>
      </c>
      <c r="D224" t="n">
        <v>1656189.001</v>
      </c>
      <c r="E224" t="inlineStr">
        <is>
          <t>USD</t>
        </is>
      </c>
      <c r="F224" t="inlineStr">
        <is>
          <t>EUR</t>
        </is>
      </c>
      <c r="G224" t="n">
        <v>6500</v>
      </c>
      <c r="H224" t="inlineStr">
        <is>
          <t>2032-06-29T22:00:00Z</t>
        </is>
      </c>
      <c r="I224" t="n">
        <v>0.0487</v>
      </c>
      <c r="J224" t="n">
        <v>99.60599999999999</v>
      </c>
      <c r="K224" t="n">
        <v>95.70999999999999</v>
      </c>
      <c r="L224" t="n">
        <v>1.1144</v>
      </c>
      <c r="M224" t="n">
        <v>6305.93</v>
      </c>
      <c r="N224" t="n">
        <v>84.78</v>
      </c>
      <c r="O224" t="n">
        <v>-3.91141095917916</v>
      </c>
      <c r="P224" t="n">
        <v>-1.17426911351799</v>
      </c>
      <c r="Q224" t="n">
        <v>1.79870692072193</v>
      </c>
    </row>
    <row r="225">
      <c r="A225" t="inlineStr">
        <is>
          <t>4% United States Treasury Notes 30.06.2032 Senior</t>
        </is>
      </c>
      <c r="B225" t="inlineStr">
        <is>
          <t>US91282CNJ61</t>
        </is>
      </c>
      <c r="C225" t="inlineStr">
        <is>
          <t>Laruffa, Sergio</t>
        </is>
      </c>
      <c r="D225" t="n">
        <v>1591822.001</v>
      </c>
      <c r="E225" t="inlineStr">
        <is>
          <t>USD</t>
        </is>
      </c>
      <c r="F225" t="inlineStr">
        <is>
          <t>USD</t>
        </is>
      </c>
      <c r="G225" t="n">
        <v>109000</v>
      </c>
      <c r="H225" t="inlineStr">
        <is>
          <t>2032-06-29T22:00:00Z</t>
        </is>
      </c>
      <c r="I225" t="n">
        <v>0.0487</v>
      </c>
      <c r="J225" t="n">
        <v>99.60593577981651</v>
      </c>
      <c r="K225" t="n">
        <v>95.70999999999999</v>
      </c>
      <c r="L225" t="n">
        <v>1</v>
      </c>
      <c r="M225" t="n">
        <v>105745.64</v>
      </c>
      <c r="N225" t="n">
        <v>1421.74</v>
      </c>
      <c r="O225" t="n">
        <v>-3.91134900677873</v>
      </c>
      <c r="P225" t="n">
        <v>-3.91134900677873</v>
      </c>
      <c r="Q225" t="n">
        <v>2.15890985873056</v>
      </c>
    </row>
    <row r="226">
      <c r="A226" t="inlineStr">
        <is>
          <t>4% United States Treasury Notes 30.06.2032 Senior</t>
        </is>
      </c>
      <c r="B226" t="inlineStr">
        <is>
          <t>US91282CNJ61</t>
        </is>
      </c>
      <c r="C226" t="inlineStr">
        <is>
          <t>Bucchioni, Fabio</t>
        </is>
      </c>
      <c r="D226" t="n">
        <v>1592092.001</v>
      </c>
      <c r="E226" t="inlineStr">
        <is>
          <t>USD</t>
        </is>
      </c>
      <c r="F226" t="inlineStr">
        <is>
          <t>EUR</t>
        </is>
      </c>
      <c r="G226" t="n">
        <v>10200</v>
      </c>
      <c r="H226" t="inlineStr">
        <is>
          <t>2032-06-29T22:00:00Z</t>
        </is>
      </c>
      <c r="I226" t="n">
        <v>0.0487</v>
      </c>
      <c r="J226" t="n">
        <v>99.6042156862745</v>
      </c>
      <c r="K226" t="n">
        <v>95.70999999999999</v>
      </c>
      <c r="L226" t="n">
        <v>1.1144</v>
      </c>
      <c r="M226" t="n">
        <v>9895.459999999999</v>
      </c>
      <c r="N226" t="n">
        <v>133.04</v>
      </c>
      <c r="O226" t="n">
        <v>-3.90968962452372</v>
      </c>
      <c r="P226" t="n">
        <v>-1.17151450742011</v>
      </c>
      <c r="Q226" t="n">
        <v>1.80134104891871</v>
      </c>
    </row>
    <row r="227">
      <c r="A227" t="inlineStr">
        <is>
          <t>4% United States Treasury Notes 30.06.2032 Senior</t>
        </is>
      </c>
      <c r="B227" t="inlineStr">
        <is>
          <t>US91282CNJ61</t>
        </is>
      </c>
      <c r="C227" t="inlineStr">
        <is>
          <t>Alemagna, Alberto Pietro</t>
        </is>
      </c>
      <c r="D227" t="n">
        <v>1627998.001</v>
      </c>
      <c r="E227" t="inlineStr">
        <is>
          <t>USD</t>
        </is>
      </c>
      <c r="F227" t="inlineStr">
        <is>
          <t>EUR</t>
        </is>
      </c>
      <c r="G227" t="n">
        <v>57900</v>
      </c>
      <c r="H227" t="inlineStr">
        <is>
          <t>2032-06-29T22:00:00Z</t>
        </is>
      </c>
      <c r="I227" t="n">
        <v>0.0487</v>
      </c>
      <c r="J227" t="n">
        <v>99.6061312607944</v>
      </c>
      <c r="K227" t="n">
        <v>95.70999999999999</v>
      </c>
      <c r="L227" t="n">
        <v>1.1144</v>
      </c>
      <c r="M227" t="n">
        <v>56171.31</v>
      </c>
      <c r="N227" t="n">
        <v>755.22</v>
      </c>
      <c r="O227" t="n">
        <v>-3.91153758456233</v>
      </c>
      <c r="P227" t="n">
        <v>-1.17451051627823</v>
      </c>
      <c r="Q227" t="n">
        <v>1.78382765696011</v>
      </c>
    </row>
    <row r="228">
      <c r="A228" t="inlineStr">
        <is>
          <t>4% United States Treasury Notes 30.06.2032 Senior</t>
        </is>
      </c>
      <c r="B228" t="inlineStr">
        <is>
          <t>US91282CNJ61</t>
        </is>
      </c>
      <c r="C228" t="inlineStr">
        <is>
          <t>Simon Fiduciaria S.p.A. - POS. FID. 6297</t>
        </is>
      </c>
      <c r="D228" t="n">
        <v>1660666.001</v>
      </c>
      <c r="E228" t="inlineStr">
        <is>
          <t>USD</t>
        </is>
      </c>
      <c r="F228" t="inlineStr">
        <is>
          <t>EUR</t>
        </is>
      </c>
      <c r="G228" t="n">
        <v>75800</v>
      </c>
      <c r="H228" t="inlineStr">
        <is>
          <t>2032-06-29T22:00:00Z</t>
        </is>
      </c>
      <c r="I228" t="n">
        <v>0.0487</v>
      </c>
      <c r="J228" t="n">
        <v>99.6063588390501</v>
      </c>
      <c r="K228" t="n">
        <v>95.70999999999999</v>
      </c>
      <c r="L228" t="n">
        <v>1.1144</v>
      </c>
      <c r="M228" t="n">
        <v>73536.88</v>
      </c>
      <c r="N228" t="n">
        <v>988.7</v>
      </c>
      <c r="O228" t="n">
        <v>-3.91175712521135</v>
      </c>
      <c r="P228" t="n">
        <v>-1.17485461952107</v>
      </c>
      <c r="Q228" t="n">
        <v>1.75168547953196</v>
      </c>
    </row>
    <row r="229">
      <c r="A229" t="inlineStr">
        <is>
          <t>4% United States Treasury Notes 30.06.2032 Senior</t>
        </is>
      </c>
      <c r="B229" t="inlineStr">
        <is>
          <t>US91282CNJ61</t>
        </is>
      </c>
      <c r="C229" t="inlineStr">
        <is>
          <t>Marchesi, Riccardo</t>
        </is>
      </c>
      <c r="D229" t="n">
        <v>1592866.001</v>
      </c>
      <c r="E229" t="inlineStr">
        <is>
          <t>USD</t>
        </is>
      </c>
      <c r="F229" t="inlineStr">
        <is>
          <t>EUR</t>
        </is>
      </c>
      <c r="G229" t="n">
        <v>26500</v>
      </c>
      <c r="H229" t="inlineStr">
        <is>
          <t>2032-06-29T22:00:00Z</t>
        </is>
      </c>
      <c r="I229" t="n">
        <v>0.0487</v>
      </c>
      <c r="J229" t="n">
        <v>99.6067547169811</v>
      </c>
      <c r="K229" t="n">
        <v>95.70999999999999</v>
      </c>
      <c r="L229" t="n">
        <v>1.1144</v>
      </c>
      <c r="M229" t="n">
        <v>25708.8</v>
      </c>
      <c r="N229" t="n">
        <v>345.65</v>
      </c>
      <c r="O229" t="n">
        <v>-3.91213901913903</v>
      </c>
      <c r="P229" t="n">
        <v>-1.17546113075279</v>
      </c>
      <c r="Q229" t="n">
        <v>1.80497835704452</v>
      </c>
    </row>
    <row r="230">
      <c r="A230" t="inlineStr">
        <is>
          <t>4% United States Treasury Notes 30.06.2032 Senior</t>
        </is>
      </c>
      <c r="B230" t="inlineStr">
        <is>
          <t>US91282CNJ61</t>
        </is>
      </c>
      <c r="C230" t="inlineStr">
        <is>
          <t>Saira Holding S.r.L.</t>
        </is>
      </c>
      <c r="D230" t="n">
        <v>1690341.001</v>
      </c>
      <c r="E230" t="inlineStr">
        <is>
          <t>USD</t>
        </is>
      </c>
      <c r="F230" t="inlineStr">
        <is>
          <t>EUR</t>
        </is>
      </c>
      <c r="G230" t="n">
        <v>3600</v>
      </c>
      <c r="H230" t="inlineStr">
        <is>
          <t>2032-06-29T22:00:00Z</t>
        </is>
      </c>
      <c r="I230" t="n">
        <v>0.0487</v>
      </c>
      <c r="J230" t="n">
        <v>99.605</v>
      </c>
      <c r="K230" t="n">
        <v>95.70999999999999</v>
      </c>
      <c r="L230" t="n">
        <v>1.1144</v>
      </c>
      <c r="M230" t="n">
        <v>3492.52</v>
      </c>
      <c r="N230" t="n">
        <v>46.96</v>
      </c>
      <c r="O230" t="n">
        <v>-3.91044626273781</v>
      </c>
      <c r="P230" t="n">
        <v>-1.17279649151968</v>
      </c>
      <c r="Q230" t="n">
        <v>1.82451872974694</v>
      </c>
    </row>
    <row r="231">
      <c r="A231" t="inlineStr">
        <is>
          <t>4% United States Treasury Notes 30.06.2032 Senior</t>
        </is>
      </c>
      <c r="B231" t="inlineStr">
        <is>
          <t>US91282CNJ61</t>
        </is>
      </c>
      <c r="C231" t="inlineStr">
        <is>
          <t>Minardi, Mario Paolo</t>
        </is>
      </c>
      <c r="D231" t="n">
        <v>1650579.001</v>
      </c>
      <c r="E231" t="inlineStr">
        <is>
          <t>USD</t>
        </is>
      </c>
      <c r="F231" t="inlineStr">
        <is>
          <t>EUR</t>
        </is>
      </c>
      <c r="G231" t="n">
        <v>11700</v>
      </c>
      <c r="H231" t="inlineStr">
        <is>
          <t>2032-06-29T22:00:00Z</t>
        </is>
      </c>
      <c r="I231" t="n">
        <v>0.0487</v>
      </c>
      <c r="J231" t="n">
        <v>99.6051282051282</v>
      </c>
      <c r="K231" t="n">
        <v>95.70999999999999</v>
      </c>
      <c r="L231" t="n">
        <v>1.1144</v>
      </c>
      <c r="M231" t="n">
        <v>11350.68</v>
      </c>
      <c r="N231" t="n">
        <v>152.61</v>
      </c>
      <c r="O231" t="n">
        <v>-3.91056994285125</v>
      </c>
      <c r="P231" t="n">
        <v>-1.17296688035659</v>
      </c>
      <c r="Q231" t="n">
        <v>1.80895414773159</v>
      </c>
    </row>
    <row r="232">
      <c r="A232" t="inlineStr">
        <is>
          <t>4% United States Treasury Notes 30.06.2032 Senior</t>
        </is>
      </c>
      <c r="B232" t="inlineStr">
        <is>
          <t>US91282CNJ61</t>
        </is>
      </c>
      <c r="C232" t="inlineStr">
        <is>
          <t>Cariboni, Elisa</t>
        </is>
      </c>
      <c r="D232" t="n">
        <v>1600379.001</v>
      </c>
      <c r="E232" t="inlineStr">
        <is>
          <t>USD</t>
        </is>
      </c>
      <c r="F232" t="inlineStr">
        <is>
          <t>EUR</t>
        </is>
      </c>
      <c r="G232" t="n">
        <v>26700</v>
      </c>
      <c r="H232" t="inlineStr">
        <is>
          <t>2032-06-29T22:00:00Z</t>
        </is>
      </c>
      <c r="I232" t="n">
        <v>0.0487</v>
      </c>
      <c r="J232" t="n">
        <v>99.6066666666666</v>
      </c>
      <c r="K232" t="n">
        <v>95.70999999999999</v>
      </c>
      <c r="L232" t="n">
        <v>1.1144</v>
      </c>
      <c r="M232" t="n">
        <v>25902.83</v>
      </c>
      <c r="N232" t="n">
        <v>348.26</v>
      </c>
      <c r="O232" t="n">
        <v>-3.91205407937889</v>
      </c>
      <c r="P232" t="n">
        <v>-1.17536322826664</v>
      </c>
      <c r="Q232" t="n">
        <v>1.80962433299999</v>
      </c>
    </row>
    <row r="233">
      <c r="A233" t="inlineStr">
        <is>
          <t>4% United States Treasury Notes 30.06.2032 Senior</t>
        </is>
      </c>
      <c r="B233" t="inlineStr">
        <is>
          <t>US91282CNJ61</t>
        </is>
      </c>
      <c r="C233" t="inlineStr">
        <is>
          <t>Hera Società Fiduciaria e di revisione S.p.A. -   05250</t>
        </is>
      </c>
      <c r="D233" t="n">
        <v>1696403.001</v>
      </c>
      <c r="E233" t="inlineStr">
        <is>
          <t>USD</t>
        </is>
      </c>
      <c r="F233" t="inlineStr">
        <is>
          <t>EUR</t>
        </is>
      </c>
      <c r="G233" t="n">
        <v>30200</v>
      </c>
      <c r="H233" t="inlineStr">
        <is>
          <t>2032-06-29T22:00:00Z</t>
        </is>
      </c>
      <c r="I233" t="n">
        <v>0.0487</v>
      </c>
      <c r="J233" t="n">
        <v>100.485993377483</v>
      </c>
      <c r="K233" t="n">
        <v>95.70999999999999</v>
      </c>
      <c r="L233" t="n">
        <v>1.1144</v>
      </c>
      <c r="M233" t="n">
        <v>29298.33</v>
      </c>
      <c r="N233" t="n">
        <v>393.91</v>
      </c>
      <c r="O233" t="n">
        <v>-4.75289462437023</v>
      </c>
      <c r="P233" t="n">
        <v>-0.213683516782851</v>
      </c>
      <c r="Q233" t="n">
        <v>4.02041162192722</v>
      </c>
    </row>
    <row r="234">
      <c r="A234" t="inlineStr">
        <is>
          <t>4% United States Treasury Notes 30.06.2032 Senior</t>
        </is>
      </c>
      <c r="B234" t="inlineStr">
        <is>
          <t>US91282CNJ61</t>
        </is>
      </c>
      <c r="C234" t="inlineStr">
        <is>
          <t>Lettieri, Riccardo</t>
        </is>
      </c>
      <c r="D234" t="n">
        <v>1660765.001</v>
      </c>
      <c r="E234" t="inlineStr">
        <is>
          <t>USD</t>
        </is>
      </c>
      <c r="F234" t="inlineStr">
        <is>
          <t>EUR</t>
        </is>
      </c>
      <c r="G234" t="n">
        <v>5500</v>
      </c>
      <c r="H234" t="inlineStr">
        <is>
          <t>2032-06-29T22:00:00Z</t>
        </is>
      </c>
      <c r="I234" t="n">
        <v>0.0487</v>
      </c>
      <c r="J234" t="n">
        <v>99.6070909090909</v>
      </c>
      <c r="K234" t="n">
        <v>95.70999999999999</v>
      </c>
      <c r="L234" t="n">
        <v>1.1144</v>
      </c>
      <c r="M234" t="n">
        <v>5335.79</v>
      </c>
      <c r="N234" t="n">
        <v>71.73999999999999</v>
      </c>
      <c r="O234" t="n">
        <v>-3.91246333320555</v>
      </c>
      <c r="P234" t="n">
        <v>-1.17601769152392</v>
      </c>
      <c r="Q234" t="n">
        <v>0.578189166380884</v>
      </c>
    </row>
    <row r="235">
      <c r="A235" t="inlineStr">
        <is>
          <t>4% United States Treasury Notes 30.06.2032 Senior</t>
        </is>
      </c>
      <c r="B235" t="inlineStr">
        <is>
          <t>US91282CNJ61</t>
        </is>
      </c>
      <c r="C235" t="inlineStr">
        <is>
          <t>Alemagna, Tancredi Luigi</t>
        </is>
      </c>
      <c r="D235" t="n">
        <v>1619782.001</v>
      </c>
      <c r="E235" t="inlineStr">
        <is>
          <t>USD</t>
        </is>
      </c>
      <c r="F235" t="inlineStr">
        <is>
          <t>EUR</t>
        </is>
      </c>
      <c r="G235" t="n">
        <v>57700</v>
      </c>
      <c r="H235" t="inlineStr">
        <is>
          <t>2032-06-29T22:00:00Z</t>
        </is>
      </c>
      <c r="I235" t="n">
        <v>0.0487</v>
      </c>
      <c r="J235" t="n">
        <v>99.6061698440208</v>
      </c>
      <c r="K235" t="n">
        <v>95.70999999999999</v>
      </c>
      <c r="L235" t="n">
        <v>1.1144</v>
      </c>
      <c r="M235" t="n">
        <v>55977.28</v>
      </c>
      <c r="N235" t="n">
        <v>752.61</v>
      </c>
      <c r="O235" t="n">
        <v>-3.91157480517727</v>
      </c>
      <c r="P235" t="n">
        <v>-1.17457223421803</v>
      </c>
      <c r="Q235" t="n">
        <v>1.92184782107715</v>
      </c>
    </row>
    <row r="236">
      <c r="A236" t="inlineStr">
        <is>
          <t>4% United States Treasury Notes 30.06.2032 Senior</t>
        </is>
      </c>
      <c r="B236" t="inlineStr">
        <is>
          <t>US91282CNJ61</t>
        </is>
      </c>
      <c r="C236" t="inlineStr">
        <is>
          <t>Terenzi, Federico</t>
        </is>
      </c>
      <c r="D236" t="n">
        <v>1620379.001</v>
      </c>
      <c r="E236" t="inlineStr">
        <is>
          <t>USD</t>
        </is>
      </c>
      <c r="F236" t="inlineStr">
        <is>
          <t>EUR</t>
        </is>
      </c>
      <c r="G236" t="n">
        <v>300</v>
      </c>
      <c r="H236" t="inlineStr">
        <is>
          <t>2032-06-29T22:00:00Z</t>
        </is>
      </c>
      <c r="I236" t="n">
        <v>0.0487</v>
      </c>
      <c r="J236" t="n">
        <v>99.59333333333331</v>
      </c>
      <c r="K236" t="n">
        <v>95.70999999999999</v>
      </c>
      <c r="L236" t="n">
        <v>1.1144</v>
      </c>
      <c r="M236" t="n">
        <v>291.04</v>
      </c>
      <c r="N236" t="n">
        <v>3.91</v>
      </c>
      <c r="O236" t="n">
        <v>-3.89919003949394</v>
      </c>
      <c r="P236" t="n">
        <v>-1.15480529445616</v>
      </c>
      <c r="Q236" t="n">
        <v>0.213962058705814</v>
      </c>
    </row>
    <row r="237">
      <c r="A237" t="inlineStr">
        <is>
          <t>4% United States Treasury Notes 30.06.2032 Senior</t>
        </is>
      </c>
      <c r="B237" t="inlineStr">
        <is>
          <t>US91282CNJ61</t>
        </is>
      </c>
      <c r="C237" t="inlineStr">
        <is>
          <t>Simon Fiduciaria S.p.A. - POS. FID. 6297</t>
        </is>
      </c>
      <c r="D237" t="n">
        <v>1660666.003</v>
      </c>
      <c r="E237" t="inlineStr">
        <is>
          <t>USD</t>
        </is>
      </c>
      <c r="F237" t="inlineStr">
        <is>
          <t>EUR</t>
        </is>
      </c>
      <c r="G237" t="n">
        <v>55400</v>
      </c>
      <c r="H237" t="inlineStr">
        <is>
          <t>2032-06-29T22:00:00Z</t>
        </is>
      </c>
      <c r="I237" t="n">
        <v>0.0487</v>
      </c>
      <c r="J237" t="n">
        <v>99.6062274368231</v>
      </c>
      <c r="K237" t="n">
        <v>95.70999999999999</v>
      </c>
      <c r="L237" t="n">
        <v>1.1144</v>
      </c>
      <c r="M237" t="n">
        <v>53745.95</v>
      </c>
      <c r="N237" t="n">
        <v>722.61</v>
      </c>
      <c r="O237" t="n">
        <v>-3.91163036396931</v>
      </c>
      <c r="P237" t="n">
        <v>-1.17464761817721</v>
      </c>
      <c r="Q237" t="n">
        <v>1.8041515768377</v>
      </c>
    </row>
    <row r="238">
      <c r="A238" t="inlineStr">
        <is>
          <t>4% United States Treasury Notes 30.06.2032 Senior</t>
        </is>
      </c>
      <c r="B238" t="inlineStr">
        <is>
          <t>US91282CNJ61</t>
        </is>
      </c>
      <c r="C238" t="inlineStr">
        <is>
          <t>Fariniundici S.p.A.</t>
        </is>
      </c>
      <c r="D238" t="n">
        <v>1644446.001</v>
      </c>
      <c r="E238" t="inlineStr">
        <is>
          <t>USD</t>
        </is>
      </c>
      <c r="F238" t="inlineStr">
        <is>
          <t>EUR</t>
        </is>
      </c>
      <c r="G238" t="n">
        <v>141000</v>
      </c>
      <c r="H238" t="inlineStr">
        <is>
          <t>2032-06-29T22:00:00Z</t>
        </is>
      </c>
      <c r="I238" t="n">
        <v>0.0487</v>
      </c>
      <c r="J238" t="n">
        <v>99.5802624113475</v>
      </c>
      <c r="K238" t="n">
        <v>95.70999999999999</v>
      </c>
      <c r="L238" t="n">
        <v>1.1144</v>
      </c>
      <c r="M238" t="n">
        <v>136790.23</v>
      </c>
      <c r="N238" t="n">
        <v>1839.13</v>
      </c>
      <c r="O238" t="n">
        <v>-3.88657583102179</v>
      </c>
      <c r="P238" t="n">
        <v>-1.15634429891724</v>
      </c>
      <c r="Q238" t="n">
        <v>1.12720751570319</v>
      </c>
    </row>
    <row r="239">
      <c r="A239" t="inlineStr">
        <is>
          <t>4% United States Treasury Notes 30.06.2032 Senior</t>
        </is>
      </c>
      <c r="B239" t="inlineStr">
        <is>
          <t>US91282CNJ61</t>
        </is>
      </c>
      <c r="C239" t="inlineStr">
        <is>
          <t>Bertini, Marco</t>
        </is>
      </c>
      <c r="D239" t="n">
        <v>112029.001</v>
      </c>
      <c r="E239" t="inlineStr">
        <is>
          <t>USD</t>
        </is>
      </c>
      <c r="F239" t="inlineStr">
        <is>
          <t>USD</t>
        </is>
      </c>
      <c r="G239" t="n">
        <v>36200</v>
      </c>
      <c r="H239" t="inlineStr">
        <is>
          <t>2032-06-29T22:00:00Z</t>
        </is>
      </c>
      <c r="I239" t="n">
        <v>0.0487</v>
      </c>
      <c r="J239" t="n">
        <v>99.605497237569</v>
      </c>
      <c r="K239" t="n">
        <v>95.70999999999999</v>
      </c>
      <c r="L239" t="n">
        <v>1</v>
      </c>
      <c r="M239" t="n">
        <v>35119.19</v>
      </c>
      <c r="N239" t="n">
        <v>472.17</v>
      </c>
      <c r="O239" t="n">
        <v>-3.91092594847241</v>
      </c>
      <c r="P239" t="n">
        <v>-3.91092594847241</v>
      </c>
      <c r="Q239" t="n">
        <v>2.27204413519059</v>
      </c>
    </row>
    <row r="240">
      <c r="A240" t="inlineStr">
        <is>
          <t>4% United States Treasury Notes 30.06.2032 Senior</t>
        </is>
      </c>
      <c r="B240" t="inlineStr">
        <is>
          <t>US91282CNJ61</t>
        </is>
      </c>
      <c r="C240" t="inlineStr">
        <is>
          <t>Ancona, Giselda</t>
        </is>
      </c>
      <c r="D240" t="n">
        <v>1648638.001</v>
      </c>
      <c r="E240" t="inlineStr">
        <is>
          <t>USD</t>
        </is>
      </c>
      <c r="F240" t="inlineStr">
        <is>
          <t>EUR</t>
        </is>
      </c>
      <c r="G240" t="n">
        <v>20600</v>
      </c>
      <c r="H240" t="inlineStr">
        <is>
          <t>2032-06-29T22:00:00Z</t>
        </is>
      </c>
      <c r="I240" t="n">
        <v>0.0487</v>
      </c>
      <c r="J240" t="n">
        <v>99.6066504854368</v>
      </c>
      <c r="K240" t="n">
        <v>95.70999999999999</v>
      </c>
      <c r="L240" t="n">
        <v>1.1144</v>
      </c>
      <c r="M240" t="n">
        <v>19984.96</v>
      </c>
      <c r="N240" t="n">
        <v>268.7</v>
      </c>
      <c r="O240" t="n">
        <v>-3.91203846976724</v>
      </c>
      <c r="P240" t="n">
        <v>-1.1753455066677</v>
      </c>
      <c r="Q240" t="n">
        <v>1.84841156803072</v>
      </c>
    </row>
    <row r="241">
      <c r="A241" t="inlineStr">
        <is>
          <t>4% United States Treasury Notes 30.06.2032 Senior</t>
        </is>
      </c>
      <c r="B241" t="inlineStr">
        <is>
          <t>US91282CNJ61</t>
        </is>
      </c>
      <c r="C241" t="inlineStr">
        <is>
          <t>Virlinzi, Francesco</t>
        </is>
      </c>
      <c r="D241" t="n">
        <v>1648903.001</v>
      </c>
      <c r="E241" t="inlineStr">
        <is>
          <t>USD</t>
        </is>
      </c>
      <c r="F241" t="inlineStr">
        <is>
          <t>EUR</t>
        </is>
      </c>
      <c r="G241" t="n">
        <v>122800</v>
      </c>
      <c r="H241" t="inlineStr">
        <is>
          <t>2032-06-29T22:00:00Z</t>
        </is>
      </c>
      <c r="I241" t="n">
        <v>0.0487</v>
      </c>
      <c r="J241" t="n">
        <v>99.6064250814332</v>
      </c>
      <c r="K241" t="n">
        <v>95.70999999999999</v>
      </c>
      <c r="L241" t="n">
        <v>1.1144</v>
      </c>
      <c r="M241" t="n">
        <v>119133.62</v>
      </c>
      <c r="N241" t="n">
        <v>1601.74</v>
      </c>
      <c r="O241" t="n">
        <v>-3.91182102785809</v>
      </c>
      <c r="P241" t="n">
        <v>-1.17495761421017</v>
      </c>
      <c r="Q241" t="n">
        <v>1.15345627500989</v>
      </c>
    </row>
    <row r="242">
      <c r="A242" t="inlineStr">
        <is>
          <t>4% United States Treasury Notes 30.06.2032 Senior</t>
        </is>
      </c>
      <c r="B242" t="inlineStr">
        <is>
          <t>US91282CNJ61</t>
        </is>
      </c>
      <c r="C242" t="inlineStr">
        <is>
          <t>Malerba, Maria Clara</t>
        </is>
      </c>
      <c r="D242" t="n">
        <v>1632673.001</v>
      </c>
      <c r="E242" t="inlineStr">
        <is>
          <t>USD</t>
        </is>
      </c>
      <c r="F242" t="inlineStr">
        <is>
          <t>EUR</t>
        </is>
      </c>
      <c r="G242" t="n">
        <v>29400</v>
      </c>
      <c r="H242" t="inlineStr">
        <is>
          <t>2032-06-29T22:00:00Z</t>
        </is>
      </c>
      <c r="I242" t="n">
        <v>0.0487</v>
      </c>
      <c r="J242" t="n">
        <v>99.5225850340136</v>
      </c>
      <c r="K242" t="n">
        <v>95.70999999999999</v>
      </c>
      <c r="L242" t="n">
        <v>1.1144</v>
      </c>
      <c r="M242" t="n">
        <v>28522.22</v>
      </c>
      <c r="N242" t="n">
        <v>383.48</v>
      </c>
      <c r="O242" t="n">
        <v>-3.83087420077622</v>
      </c>
      <c r="P242" t="n">
        <v>-0.894492721084617</v>
      </c>
      <c r="Q242" t="n">
        <v>0.486533299669237</v>
      </c>
    </row>
    <row r="243">
      <c r="A243" t="inlineStr">
        <is>
          <t>4% United States Treasury Notes 30.06.2032 Senior</t>
        </is>
      </c>
      <c r="B243" t="inlineStr">
        <is>
          <t>US91282CNJ61</t>
        </is>
      </c>
      <c r="C243" t="inlineStr">
        <is>
          <t>Galli, Federico</t>
        </is>
      </c>
      <c r="D243" t="n">
        <v>1621661.001</v>
      </c>
      <c r="E243" t="inlineStr">
        <is>
          <t>USD</t>
        </is>
      </c>
      <c r="F243" t="inlineStr">
        <is>
          <t>EUR</t>
        </is>
      </c>
      <c r="G243" t="n">
        <v>11000</v>
      </c>
      <c r="H243" t="inlineStr">
        <is>
          <t>2032-06-29T22:00:00Z</t>
        </is>
      </c>
      <c r="I243" t="n">
        <v>0.0487</v>
      </c>
      <c r="J243" t="n">
        <v>99.60818181818181</v>
      </c>
      <c r="K243" t="n">
        <v>95.70999999999999</v>
      </c>
      <c r="L243" t="n">
        <v>1.1144</v>
      </c>
      <c r="M243" t="n">
        <v>10671.58</v>
      </c>
      <c r="N243" t="n">
        <v>143.48</v>
      </c>
      <c r="O243" t="n">
        <v>-3.91351568418074</v>
      </c>
      <c r="P243" t="n">
        <v>-1.17767296090916</v>
      </c>
      <c r="Q243" t="n">
        <v>1.74095691269362</v>
      </c>
    </row>
    <row r="244">
      <c r="A244" t="inlineStr">
        <is>
          <t>4% United States Treasury Notes 30.06.2032 Senior</t>
        </is>
      </c>
      <c r="B244" t="inlineStr">
        <is>
          <t>US91282CNJ61</t>
        </is>
      </c>
      <c r="C244" t="inlineStr">
        <is>
          <t>BISVALLES ASSETS INC.</t>
        </is>
      </c>
      <c r="D244" t="n">
        <v>1649314.001</v>
      </c>
      <c r="E244" t="inlineStr">
        <is>
          <t>USD</t>
        </is>
      </c>
      <c r="F244" t="inlineStr">
        <is>
          <t>EUR</t>
        </is>
      </c>
      <c r="G244" t="n">
        <v>142300</v>
      </c>
      <c r="H244" t="inlineStr">
        <is>
          <t>2032-06-29T22:00:00Z</t>
        </is>
      </c>
      <c r="I244" t="n">
        <v>0.0487</v>
      </c>
      <c r="J244" t="n">
        <v>99.60658468025299</v>
      </c>
      <c r="K244" t="n">
        <v>95.70999999999999</v>
      </c>
      <c r="L244" t="n">
        <v>1.1144</v>
      </c>
      <c r="M244" t="n">
        <v>138051.42</v>
      </c>
      <c r="N244" t="n">
        <v>1856.09</v>
      </c>
      <c r="O244" t="n">
        <v>-3.91197498916503</v>
      </c>
      <c r="P244" t="n">
        <v>-1.17520699691668</v>
      </c>
      <c r="Q244" t="n">
        <v>1.27892155727474</v>
      </c>
    </row>
    <row r="245">
      <c r="A245" t="inlineStr">
        <is>
          <t>4% United States Treasury Notes 30.06.2032 Senior</t>
        </is>
      </c>
      <c r="B245" t="inlineStr">
        <is>
          <t>US91282CNJ61</t>
        </is>
      </c>
      <c r="C245" t="inlineStr">
        <is>
          <t>Laruffa, Serena</t>
        </is>
      </c>
      <c r="D245" t="n">
        <v>1596193.001</v>
      </c>
      <c r="E245" t="inlineStr">
        <is>
          <t>USD</t>
        </is>
      </c>
      <c r="F245" t="inlineStr">
        <is>
          <t>EUR</t>
        </is>
      </c>
      <c r="G245" t="n">
        <v>70100</v>
      </c>
      <c r="H245" t="inlineStr">
        <is>
          <t>2032-06-29T22:00:00Z</t>
        </is>
      </c>
      <c r="I245" t="n">
        <v>0.0487</v>
      </c>
      <c r="J245" t="n">
        <v>99.60624821683309</v>
      </c>
      <c r="K245" t="n">
        <v>95.70999999999999</v>
      </c>
      <c r="L245" t="n">
        <v>1.1144</v>
      </c>
      <c r="M245" t="n">
        <v>68007.06</v>
      </c>
      <c r="N245" t="n">
        <v>914.35</v>
      </c>
      <c r="O245" t="n">
        <v>-3.91165041007401</v>
      </c>
      <c r="P245" t="n">
        <v>-1.17468536620438</v>
      </c>
      <c r="Q245" t="n">
        <v>2.00364002560883</v>
      </c>
    </row>
    <row r="246">
      <c r="A246" t="inlineStr">
        <is>
          <t>4% United States Treasury Notes 30.06.2032 Senior</t>
        </is>
      </c>
      <c r="B246" t="inlineStr">
        <is>
          <t>US91282CNJ61</t>
        </is>
      </c>
      <c r="C246" t="inlineStr">
        <is>
          <t>Hera Società Fiduciaria e di revisione S.p.A. - - 05361</t>
        </is>
      </c>
      <c r="D246" t="n">
        <v>1706128.001</v>
      </c>
      <c r="E246" t="inlineStr">
        <is>
          <t>USD</t>
        </is>
      </c>
      <c r="F246" t="inlineStr">
        <is>
          <t>EUR</t>
        </is>
      </c>
      <c r="G246" t="n">
        <v>18300</v>
      </c>
      <c r="H246" t="inlineStr">
        <is>
          <t>2032-06-29T22:00:00Z</t>
        </is>
      </c>
      <c r="I246" t="n">
        <v>0.0487</v>
      </c>
      <c r="J246" t="n">
        <v>99.605956284153</v>
      </c>
      <c r="K246" t="n">
        <v>95.70999999999999</v>
      </c>
      <c r="L246" t="n">
        <v>1.1144</v>
      </c>
      <c r="M246" t="n">
        <v>17753.63</v>
      </c>
      <c r="N246" t="n">
        <v>238.7</v>
      </c>
      <c r="O246" t="n">
        <v>-3.91136878706202</v>
      </c>
      <c r="P246" t="n">
        <v>-1.17424163822868</v>
      </c>
      <c r="Q246" t="n">
        <v>1.57323963862559</v>
      </c>
    </row>
    <row r="247">
      <c r="A247" t="inlineStr">
        <is>
          <t>4% United States Treasury Notes 30.06.2032 Senior</t>
        </is>
      </c>
      <c r="B247" t="inlineStr">
        <is>
          <t>US91282CNJ61</t>
        </is>
      </c>
      <c r="C247" t="inlineStr">
        <is>
          <t>Lettieri, Umberto</t>
        </is>
      </c>
      <c r="D247" t="n">
        <v>1710712.001</v>
      </c>
      <c r="E247" t="inlineStr">
        <is>
          <t>USD</t>
        </is>
      </c>
      <c r="F247" t="inlineStr">
        <is>
          <t>USD</t>
        </is>
      </c>
      <c r="G247" t="n">
        <v>69000</v>
      </c>
      <c r="H247" t="inlineStr">
        <is>
          <t>2032-06-29T22:00:00Z</t>
        </is>
      </c>
      <c r="I247" t="n">
        <v>0.0487</v>
      </c>
      <c r="J247" t="n">
        <v>99.87108695652169</v>
      </c>
      <c r="K247" t="n">
        <v>95.70999999999999</v>
      </c>
      <c r="L247" t="n">
        <v>1</v>
      </c>
      <c r="M247" t="n">
        <v>66939.89999999999</v>
      </c>
      <c r="N247" t="n">
        <v>900</v>
      </c>
      <c r="O247" t="n">
        <v>-4.16645806441782</v>
      </c>
      <c r="P247" t="n">
        <v>-4.16645806441782</v>
      </c>
      <c r="Q247" t="n">
        <v>4.64596016364298</v>
      </c>
    </row>
    <row r="248">
      <c r="A248" t="inlineStr">
        <is>
          <t>4% United States Treasury Notes 30.06.2032 Senior</t>
        </is>
      </c>
      <c r="B248" t="inlineStr">
        <is>
          <t>US91282CNJ61</t>
        </is>
      </c>
      <c r="C248" t="inlineStr">
        <is>
          <t>Laruffa, Alessia</t>
        </is>
      </c>
      <c r="D248" t="n">
        <v>1596151.001</v>
      </c>
      <c r="E248" t="inlineStr">
        <is>
          <t>USD</t>
        </is>
      </c>
      <c r="F248" t="inlineStr">
        <is>
          <t>EUR</t>
        </is>
      </c>
      <c r="G248" t="n">
        <v>58000</v>
      </c>
      <c r="H248" t="inlineStr">
        <is>
          <t>2032-06-29T22:00:00Z</t>
        </is>
      </c>
      <c r="I248" t="n">
        <v>0.0487</v>
      </c>
      <c r="J248" t="n">
        <v>99.6065689655172</v>
      </c>
      <c r="K248" t="n">
        <v>95.70999999999999</v>
      </c>
      <c r="L248" t="n">
        <v>1.1144</v>
      </c>
      <c r="M248" t="n">
        <v>56268.32</v>
      </c>
      <c r="N248" t="n">
        <v>756.52</v>
      </c>
      <c r="O248" t="n">
        <v>-3.91195982954316</v>
      </c>
      <c r="P248" t="n">
        <v>-1.17519546746031</v>
      </c>
      <c r="Q248" t="n">
        <v>2.17166087680629</v>
      </c>
    </row>
    <row r="249">
      <c r="A249" t="inlineStr">
        <is>
          <t>4.125% United States Treasury Bonds 15.08.2053 Senior</t>
        </is>
      </c>
      <c r="B249" t="inlineStr">
        <is>
          <t>US912810TT51</t>
        </is>
      </c>
      <c r="C249" t="inlineStr">
        <is>
          <t>Laruffa, Sergio</t>
        </is>
      </c>
      <c r="D249" t="n">
        <v>1591822.001</v>
      </c>
      <c r="E249" t="inlineStr">
        <is>
          <t>USD</t>
        </is>
      </c>
      <c r="F249" t="inlineStr">
        <is>
          <t>USD</t>
        </is>
      </c>
      <c r="G249" t="n">
        <v>428900</v>
      </c>
      <c r="H249" t="inlineStr">
        <is>
          <t>2053-08-14T22:00:00Z</t>
        </is>
      </c>
      <c r="I249" t="n">
        <v>0.05358</v>
      </c>
      <c r="J249" t="n">
        <v>90.8477127535556</v>
      </c>
      <c r="K249" t="n">
        <v>82.56999999999999</v>
      </c>
      <c r="L249" t="n">
        <v>1</v>
      </c>
      <c r="M249" t="n">
        <v>357700.39</v>
      </c>
      <c r="N249" t="n">
        <v>3557.66</v>
      </c>
      <c r="O249" t="n">
        <v>-9.111635838329491</v>
      </c>
      <c r="P249" t="n">
        <v>-9.111635838329491</v>
      </c>
      <c r="Q249" t="n">
        <v>7.30283440946377</v>
      </c>
    </row>
    <row r="250">
      <c r="A250" t="inlineStr">
        <is>
          <t>4.125% United States Treasury Bonds 15.08.2053 Senior</t>
        </is>
      </c>
      <c r="B250" t="inlineStr">
        <is>
          <t>US912810TT51</t>
        </is>
      </c>
      <c r="C250" t="inlineStr">
        <is>
          <t>Bertini, Marco</t>
        </is>
      </c>
      <c r="D250" t="n">
        <v>112029.001</v>
      </c>
      <c r="E250" t="inlineStr">
        <is>
          <t>USD</t>
        </is>
      </c>
      <c r="F250" t="inlineStr">
        <is>
          <t>USD</t>
        </is>
      </c>
      <c r="G250" t="n">
        <v>35500</v>
      </c>
      <c r="H250" t="inlineStr">
        <is>
          <t>2053-08-14T22:00:00Z</t>
        </is>
      </c>
      <c r="I250" t="n">
        <v>0.05358</v>
      </c>
      <c r="J250" t="n">
        <v>88.9082535211267</v>
      </c>
      <c r="K250" t="n">
        <v>82.56999999999999</v>
      </c>
      <c r="L250" t="n">
        <v>1</v>
      </c>
      <c r="M250" t="n">
        <v>29606.82</v>
      </c>
      <c r="N250" t="n">
        <v>294.47</v>
      </c>
      <c r="O250" t="n">
        <v>-7.12898214744555</v>
      </c>
      <c r="P250" t="n">
        <v>-7.12898214744555</v>
      </c>
      <c r="Q250" t="n">
        <v>1.91542008066369</v>
      </c>
    </row>
    <row r="251">
      <c r="A251" t="inlineStr">
        <is>
          <t>4.125% United States Treasury Bonds 15.08.2053 Senior</t>
        </is>
      </c>
      <c r="B251" t="inlineStr">
        <is>
          <t>US912810TT51</t>
        </is>
      </c>
      <c r="C251" t="inlineStr">
        <is>
          <t>BISVALLES ASSETS INC.</t>
        </is>
      </c>
      <c r="D251" t="n">
        <v>1649314.001</v>
      </c>
      <c r="E251" t="inlineStr">
        <is>
          <t>USD</t>
        </is>
      </c>
      <c r="F251" t="inlineStr">
        <is>
          <t>EUR</t>
        </is>
      </c>
      <c r="G251" t="n">
        <v>946600</v>
      </c>
      <c r="H251" t="inlineStr">
        <is>
          <t>2053-08-14T22:00:00Z</t>
        </is>
      </c>
      <c r="I251" t="n">
        <v>0.05358</v>
      </c>
      <c r="J251" t="n">
        <v>91.4731903655187</v>
      </c>
      <c r="K251" t="n">
        <v>82.56999999999999</v>
      </c>
      <c r="L251" t="n">
        <v>1.1144</v>
      </c>
      <c r="M251" t="n">
        <v>789459.51</v>
      </c>
      <c r="N251" t="n">
        <v>7851.89</v>
      </c>
      <c r="O251" t="n">
        <v>-9.73311451141295</v>
      </c>
      <c r="P251" t="n">
        <v>-9.94527169825353</v>
      </c>
      <c r="Q251" t="n">
        <v>7.3136289374848</v>
      </c>
    </row>
    <row r="252">
      <c r="A252" t="inlineStr">
        <is>
          <t>4.125% United States Treasury Bonds 15.08.2053 Senior</t>
        </is>
      </c>
      <c r="B252" t="inlineStr">
        <is>
          <t>US912810TT51</t>
        </is>
      </c>
      <c r="C252" t="inlineStr">
        <is>
          <t>Lettieri, Umberto</t>
        </is>
      </c>
      <c r="D252" t="n">
        <v>1710712.001</v>
      </c>
      <c r="E252" t="inlineStr">
        <is>
          <t>USD</t>
        </is>
      </c>
      <c r="F252" t="inlineStr">
        <is>
          <t>USD</t>
        </is>
      </c>
      <c r="G252" t="n">
        <v>95800</v>
      </c>
      <c r="H252" t="inlineStr">
        <is>
          <t>2053-08-14T22:00:00Z</t>
        </is>
      </c>
      <c r="I252" t="n">
        <v>0.05358</v>
      </c>
      <c r="J252" t="n">
        <v>87.45911273486431</v>
      </c>
      <c r="K252" t="n">
        <v>82.56999999999999</v>
      </c>
      <c r="L252" t="n">
        <v>1</v>
      </c>
      <c r="M252" t="n">
        <v>79896.71000000001</v>
      </c>
      <c r="N252" t="n">
        <v>794.65</v>
      </c>
      <c r="O252" t="n">
        <v>-5.59016960266431</v>
      </c>
      <c r="P252" t="n">
        <v>-5.59016960266431</v>
      </c>
      <c r="Q252" t="n">
        <v>5.54522686568303</v>
      </c>
    </row>
    <row r="253">
      <c r="A253" t="inlineStr">
        <is>
          <t>4.25% United States Treasury Notes 15.05.2035 Senior</t>
        </is>
      </c>
      <c r="B253" t="inlineStr">
        <is>
          <t>US91282CNC19</t>
        </is>
      </c>
      <c r="C253" t="inlineStr">
        <is>
          <t>Petrassi, Raffaele</t>
        </is>
      </c>
      <c r="D253" t="n">
        <v>1656189.001</v>
      </c>
      <c r="E253" t="inlineStr">
        <is>
          <t>USD</t>
        </is>
      </c>
      <c r="F253" t="inlineStr">
        <is>
          <t>EUR</t>
        </is>
      </c>
      <c r="G253" t="n">
        <v>12900</v>
      </c>
      <c r="H253" t="inlineStr">
        <is>
          <t>2035-05-14T22:00:00Z</t>
        </is>
      </c>
      <c r="I253" t="n">
        <v>0.04969</v>
      </c>
      <c r="J253" t="n">
        <v>100.601240310077</v>
      </c>
      <c r="K253" t="n">
        <v>95.05</v>
      </c>
      <c r="L253" t="n">
        <v>1.1144</v>
      </c>
      <c r="M253" t="n">
        <v>12508.76</v>
      </c>
      <c r="N253" t="n">
        <v>247.31</v>
      </c>
      <c r="O253" t="n">
        <v>-5.51806348805168</v>
      </c>
      <c r="P253" t="n">
        <v>-2.01408030493968</v>
      </c>
      <c r="Q253" t="n">
        <v>3.56800631395604</v>
      </c>
    </row>
    <row r="254">
      <c r="A254" t="inlineStr">
        <is>
          <t>4.25% United States Treasury Notes 15.05.2035 Senior</t>
        </is>
      </c>
      <c r="B254" t="inlineStr">
        <is>
          <t>US91282CNC19</t>
        </is>
      </c>
      <c r="C254" t="inlineStr">
        <is>
          <t>Laruffa, Sergio</t>
        </is>
      </c>
      <c r="D254" t="n">
        <v>1591822.001</v>
      </c>
      <c r="E254" t="inlineStr">
        <is>
          <t>USD</t>
        </is>
      </c>
      <c r="F254" t="inlineStr">
        <is>
          <t>USD</t>
        </is>
      </c>
      <c r="G254" t="n">
        <v>239000</v>
      </c>
      <c r="H254" t="inlineStr">
        <is>
          <t>2035-05-14T22:00:00Z</t>
        </is>
      </c>
      <c r="I254" t="n">
        <v>0.04969</v>
      </c>
      <c r="J254" t="n">
        <v>99.92986192468619</v>
      </c>
      <c r="K254" t="n">
        <v>95.05</v>
      </c>
      <c r="L254" t="n">
        <v>1</v>
      </c>
      <c r="M254" t="n">
        <v>231751.42</v>
      </c>
      <c r="N254" t="n">
        <v>4581.92</v>
      </c>
      <c r="O254" t="n">
        <v>-4.88328696817772</v>
      </c>
      <c r="P254" t="n">
        <v>-4.88328696817772</v>
      </c>
      <c r="Q254" t="n">
        <v>4.73145205242323</v>
      </c>
    </row>
    <row r="255">
      <c r="A255" t="inlineStr">
        <is>
          <t>4.25% United States Treasury Notes 15.05.2035 Senior</t>
        </is>
      </c>
      <c r="B255" t="inlineStr">
        <is>
          <t>US91282CNC19</t>
        </is>
      </c>
      <c r="C255" t="inlineStr">
        <is>
          <t>Bucchioni, Fabio</t>
        </is>
      </c>
      <c r="D255" t="n">
        <v>1592092.001</v>
      </c>
      <c r="E255" t="inlineStr">
        <is>
          <t>USD</t>
        </is>
      </c>
      <c r="F255" t="inlineStr">
        <is>
          <t>EUR</t>
        </is>
      </c>
      <c r="G255" t="n">
        <v>20300</v>
      </c>
      <c r="H255" t="inlineStr">
        <is>
          <t>2035-05-14T22:00:00Z</t>
        </is>
      </c>
      <c r="I255" t="n">
        <v>0.04969</v>
      </c>
      <c r="J255" t="n">
        <v>100.602068965517</v>
      </c>
      <c r="K255" t="n">
        <v>95.05</v>
      </c>
      <c r="L255" t="n">
        <v>1.1144</v>
      </c>
      <c r="M255" t="n">
        <v>19684.33</v>
      </c>
      <c r="N255" t="n">
        <v>389.18</v>
      </c>
      <c r="O255" t="n">
        <v>-5.5188417321917</v>
      </c>
      <c r="P255" t="n">
        <v>-2.01796462761201</v>
      </c>
      <c r="Q255" t="n">
        <v>3.583277566014</v>
      </c>
    </row>
    <row r="256">
      <c r="A256" t="inlineStr">
        <is>
          <t>4.25% United States Treasury Notes 15.05.2035 Senior</t>
        </is>
      </c>
      <c r="B256" t="inlineStr">
        <is>
          <t>US91282CNC19</t>
        </is>
      </c>
      <c r="C256" t="inlineStr">
        <is>
          <t>Alemagna, Alberto Pietro</t>
        </is>
      </c>
      <c r="D256" t="n">
        <v>1627998.001</v>
      </c>
      <c r="E256" t="inlineStr">
        <is>
          <t>USD</t>
        </is>
      </c>
      <c r="F256" t="inlineStr">
        <is>
          <t>EUR</t>
        </is>
      </c>
      <c r="G256" t="n">
        <v>115000</v>
      </c>
      <c r="H256" t="inlineStr">
        <is>
          <t>2035-05-14T22:00:00Z</t>
        </is>
      </c>
      <c r="I256" t="n">
        <v>0.04969</v>
      </c>
      <c r="J256" t="n">
        <v>100.601617391304</v>
      </c>
      <c r="K256" t="n">
        <v>95.05</v>
      </c>
      <c r="L256" t="n">
        <v>1.1144</v>
      </c>
      <c r="M256" t="n">
        <v>111512.19</v>
      </c>
      <c r="N256" t="n">
        <v>2204.69</v>
      </c>
      <c r="O256" t="n">
        <v>-5.51841763111078</v>
      </c>
      <c r="P256" t="n">
        <v>-2.01736370117938</v>
      </c>
      <c r="Q256" t="n">
        <v>3.54128312289381</v>
      </c>
    </row>
    <row r="257">
      <c r="A257" t="inlineStr">
        <is>
          <t>4.25% United States Treasury Notes 15.05.2035 Senior</t>
        </is>
      </c>
      <c r="B257" t="inlineStr">
        <is>
          <t>US91282CNC19</t>
        </is>
      </c>
      <c r="C257" t="inlineStr">
        <is>
          <t>Simon Fiduciaria S.p.A. - POS. FID. 6297</t>
        </is>
      </c>
      <c r="D257" t="n">
        <v>1660666.001</v>
      </c>
      <c r="E257" t="inlineStr">
        <is>
          <t>USD</t>
        </is>
      </c>
      <c r="F257" t="inlineStr">
        <is>
          <t>EUR</t>
        </is>
      </c>
      <c r="G257" t="n">
        <v>151400</v>
      </c>
      <c r="H257" t="inlineStr">
        <is>
          <t>2035-05-14T22:00:00Z</t>
        </is>
      </c>
      <c r="I257" t="n">
        <v>0.04969</v>
      </c>
      <c r="J257" t="n">
        <v>100.587866578599</v>
      </c>
      <c r="K257" t="n">
        <v>95.05</v>
      </c>
      <c r="L257" t="n">
        <v>1.1144</v>
      </c>
      <c r="M257" t="n">
        <v>146808.22</v>
      </c>
      <c r="N257" t="n">
        <v>2902.52</v>
      </c>
      <c r="O257" t="n">
        <v>-5.50550157485687</v>
      </c>
      <c r="P257" t="n">
        <v>-2.00803164088284</v>
      </c>
      <c r="Q257" t="n">
        <v>3.49704516454291</v>
      </c>
    </row>
    <row r="258">
      <c r="A258" t="inlineStr">
        <is>
          <t>4.25% United States Treasury Notes 15.05.2035 Senior</t>
        </is>
      </c>
      <c r="B258" t="inlineStr">
        <is>
          <t>US91282CNC19</t>
        </is>
      </c>
      <c r="C258" t="inlineStr">
        <is>
          <t>Marchesi, Riccardo</t>
        </is>
      </c>
      <c r="D258" t="n">
        <v>1592866.001</v>
      </c>
      <c r="E258" t="inlineStr">
        <is>
          <t>USD</t>
        </is>
      </c>
      <c r="F258" t="inlineStr">
        <is>
          <t>EUR</t>
        </is>
      </c>
      <c r="G258" t="n">
        <v>52700</v>
      </c>
      <c r="H258" t="inlineStr">
        <is>
          <t>2035-05-14T22:00:00Z</t>
        </is>
      </c>
      <c r="I258" t="n">
        <v>0.04969</v>
      </c>
      <c r="J258" t="n">
        <v>100.589373814041</v>
      </c>
      <c r="K258" t="n">
        <v>95.05</v>
      </c>
      <c r="L258" t="n">
        <v>1.1144</v>
      </c>
      <c r="M258" t="n">
        <v>51101.67</v>
      </c>
      <c r="N258" t="n">
        <v>1010.32</v>
      </c>
      <c r="O258" t="n">
        <v>-5.50691748442764</v>
      </c>
      <c r="P258" t="n">
        <v>-2.01026913756162</v>
      </c>
      <c r="Q258" t="n">
        <v>3.58777700768711</v>
      </c>
    </row>
    <row r="259">
      <c r="A259" t="inlineStr">
        <is>
          <t>4.25% United States Treasury Notes 15.05.2035 Senior</t>
        </is>
      </c>
      <c r="B259" t="inlineStr">
        <is>
          <t>US91282CNC19</t>
        </is>
      </c>
      <c r="C259" t="inlineStr">
        <is>
          <t>Saira Holding S.r.L.</t>
        </is>
      </c>
      <c r="D259" t="n">
        <v>1690341.001</v>
      </c>
      <c r="E259" t="inlineStr">
        <is>
          <t>USD</t>
        </is>
      </c>
      <c r="F259" t="inlineStr">
        <is>
          <t>EUR</t>
        </is>
      </c>
      <c r="G259" t="n">
        <v>7100</v>
      </c>
      <c r="H259" t="inlineStr">
        <is>
          <t>2035-05-14T22:00:00Z</t>
        </is>
      </c>
      <c r="I259" t="n">
        <v>0.04969</v>
      </c>
      <c r="J259" t="n">
        <v>100.511408450704</v>
      </c>
      <c r="K259" t="n">
        <v>95.05</v>
      </c>
      <c r="L259" t="n">
        <v>1.1144</v>
      </c>
      <c r="M259" t="n">
        <v>6884.67</v>
      </c>
      <c r="N259" t="n">
        <v>136.12</v>
      </c>
      <c r="O259" t="n">
        <v>-5.43362045651043</v>
      </c>
      <c r="P259" t="n">
        <v>-1.82535359234256</v>
      </c>
      <c r="Q259" t="n">
        <v>3.59659929135407</v>
      </c>
    </row>
    <row r="260">
      <c r="A260" t="inlineStr">
        <is>
          <t>4.25% United States Treasury Notes 15.05.2035 Senior</t>
        </is>
      </c>
      <c r="B260" t="inlineStr">
        <is>
          <t>US91282CNC19</t>
        </is>
      </c>
      <c r="C260" t="inlineStr">
        <is>
          <t>Minardi, Mario Paolo</t>
        </is>
      </c>
      <c r="D260" t="n">
        <v>1650579.001</v>
      </c>
      <c r="E260" t="inlineStr">
        <is>
          <t>USD</t>
        </is>
      </c>
      <c r="F260" t="inlineStr">
        <is>
          <t>EUR</t>
        </is>
      </c>
      <c r="G260" t="n">
        <v>23400</v>
      </c>
      <c r="H260" t="inlineStr">
        <is>
          <t>2035-05-14T22:00:00Z</t>
        </is>
      </c>
      <c r="I260" t="n">
        <v>0.04969</v>
      </c>
      <c r="J260" t="n">
        <v>100.566965811965</v>
      </c>
      <c r="K260" t="n">
        <v>95.05</v>
      </c>
      <c r="L260" t="n">
        <v>1.1144</v>
      </c>
      <c r="M260" t="n">
        <v>22690.31</v>
      </c>
      <c r="N260" t="n">
        <v>448.61</v>
      </c>
      <c r="O260" t="n">
        <v>-5.48586284514251</v>
      </c>
      <c r="P260" t="n">
        <v>-1.99706840630808</v>
      </c>
      <c r="Q260" t="n">
        <v>3.61614641824837</v>
      </c>
    </row>
    <row r="261">
      <c r="A261" t="inlineStr">
        <is>
          <t>4.25% United States Treasury Notes 15.05.2035 Senior</t>
        </is>
      </c>
      <c r="B261" t="inlineStr">
        <is>
          <t>US91282CNC19</t>
        </is>
      </c>
      <c r="C261" t="inlineStr">
        <is>
          <t>Cariboni, Elisa</t>
        </is>
      </c>
      <c r="D261" t="n">
        <v>1600379.001</v>
      </c>
      <c r="E261" t="inlineStr">
        <is>
          <t>USD</t>
        </is>
      </c>
      <c r="F261" t="inlineStr">
        <is>
          <t>EUR</t>
        </is>
      </c>
      <c r="G261" t="n">
        <v>52400</v>
      </c>
      <c r="H261" t="inlineStr">
        <is>
          <t>2035-05-14T22:00:00Z</t>
        </is>
      </c>
      <c r="I261" t="n">
        <v>0.04969</v>
      </c>
      <c r="J261" t="n">
        <v>100.626908396946</v>
      </c>
      <c r="K261" t="n">
        <v>95.05</v>
      </c>
      <c r="L261" t="n">
        <v>1.1144</v>
      </c>
      <c r="M261" t="n">
        <v>50810.77</v>
      </c>
      <c r="N261" t="n">
        <v>1004.57</v>
      </c>
      <c r="O261" t="n">
        <v>-5.542164104801</v>
      </c>
      <c r="P261" t="n">
        <v>-2.03355166245791</v>
      </c>
      <c r="Q261" t="n">
        <v>3.54974385399542</v>
      </c>
    </row>
    <row r="262">
      <c r="A262" t="inlineStr">
        <is>
          <t>4.25% United States Treasury Notes 15.05.2035 Senior</t>
        </is>
      </c>
      <c r="B262" t="inlineStr">
        <is>
          <t>US91282CNC19</t>
        </is>
      </c>
      <c r="C262" t="inlineStr">
        <is>
          <t>Hera Società Fiduciaria e di revisione S.p.A. -   05250</t>
        </is>
      </c>
      <c r="D262" t="n">
        <v>1696403.001</v>
      </c>
      <c r="E262" t="inlineStr">
        <is>
          <t>USD</t>
        </is>
      </c>
      <c r="F262" t="inlineStr">
        <is>
          <t>EUR</t>
        </is>
      </c>
      <c r="G262" t="n">
        <v>27200</v>
      </c>
      <c r="H262" t="inlineStr">
        <is>
          <t>2035-05-14T22:00:00Z</t>
        </is>
      </c>
      <c r="I262" t="n">
        <v>0.04969</v>
      </c>
      <c r="J262" t="n">
        <v>100.119044117647</v>
      </c>
      <c r="K262" t="n">
        <v>95.05</v>
      </c>
      <c r="L262" t="n">
        <v>1.1144</v>
      </c>
      <c r="M262" t="n">
        <v>26375.06</v>
      </c>
      <c r="N262" t="n">
        <v>521.46</v>
      </c>
      <c r="O262" t="n">
        <v>-5.06301689385944</v>
      </c>
      <c r="P262" t="n">
        <v>-1.61876239378872</v>
      </c>
      <c r="Q262" t="n">
        <v>3.6192716624402</v>
      </c>
    </row>
    <row r="263">
      <c r="A263" t="inlineStr">
        <is>
          <t>4.25% United States Treasury Notes 15.05.2035 Senior</t>
        </is>
      </c>
      <c r="B263" t="inlineStr">
        <is>
          <t>US91282CNC19</t>
        </is>
      </c>
      <c r="C263" t="inlineStr">
        <is>
          <t>Lettieri, Riccardo</t>
        </is>
      </c>
      <c r="D263" t="n">
        <v>1660765.001</v>
      </c>
      <c r="E263" t="inlineStr">
        <is>
          <t>USD</t>
        </is>
      </c>
      <c r="F263" t="inlineStr">
        <is>
          <t>EUR</t>
        </is>
      </c>
      <c r="G263" t="n">
        <v>41400</v>
      </c>
      <c r="H263" t="inlineStr">
        <is>
          <t>2035-05-14T22:00:00Z</t>
        </is>
      </c>
      <c r="I263" t="n">
        <v>0.04969</v>
      </c>
      <c r="J263" t="n">
        <v>101.121714975845</v>
      </c>
      <c r="K263" t="n">
        <v>95.05</v>
      </c>
      <c r="L263" t="n">
        <v>1.1144</v>
      </c>
      <c r="M263" t="n">
        <v>40144.39</v>
      </c>
      <c r="N263" t="n">
        <v>793.6900000000001</v>
      </c>
      <c r="O263" t="n">
        <v>-6.00436313535202</v>
      </c>
      <c r="P263" t="n">
        <v>-2.33266690712592</v>
      </c>
      <c r="Q263" t="n">
        <v>4.35006663754376</v>
      </c>
    </row>
    <row r="264">
      <c r="A264" t="inlineStr">
        <is>
          <t>4.25% United States Treasury Notes 15.05.2035 Senior</t>
        </is>
      </c>
      <c r="B264" t="inlineStr">
        <is>
          <t>US91282CNC19</t>
        </is>
      </c>
      <c r="C264" t="inlineStr">
        <is>
          <t>Alemagna, Tancredi Luigi</t>
        </is>
      </c>
      <c r="D264" t="n">
        <v>1619782.001</v>
      </c>
      <c r="E264" t="inlineStr">
        <is>
          <t>USD</t>
        </is>
      </c>
      <c r="F264" t="inlineStr">
        <is>
          <t>EUR</t>
        </is>
      </c>
      <c r="G264" t="n">
        <v>113100</v>
      </c>
      <c r="H264" t="inlineStr">
        <is>
          <t>2035-05-14T22:00:00Z</t>
        </is>
      </c>
      <c r="I264" t="n">
        <v>0.04969</v>
      </c>
      <c r="J264" t="n">
        <v>100.626870026525</v>
      </c>
      <c r="K264" t="n">
        <v>95.05</v>
      </c>
      <c r="L264" t="n">
        <v>1.1144</v>
      </c>
      <c r="M264" t="n">
        <v>109669.81</v>
      </c>
      <c r="N264" t="n">
        <v>2168.26</v>
      </c>
      <c r="O264" t="n">
        <v>-5.54212808671793</v>
      </c>
      <c r="P264" t="n">
        <v>-2.03436423604044</v>
      </c>
      <c r="Q264" t="n">
        <v>3.7652543263344</v>
      </c>
    </row>
    <row r="265">
      <c r="A265" t="inlineStr">
        <is>
          <t>4.25% United States Treasury Notes 15.05.2035 Senior</t>
        </is>
      </c>
      <c r="B265" t="inlineStr">
        <is>
          <t>US91282CNC19</t>
        </is>
      </c>
      <c r="C265" t="inlineStr">
        <is>
          <t>Terenzi, Federico</t>
        </is>
      </c>
      <c r="D265" t="n">
        <v>1620379.001</v>
      </c>
      <c r="E265" t="inlineStr">
        <is>
          <t>USD</t>
        </is>
      </c>
      <c r="F265" t="inlineStr">
        <is>
          <t>EUR</t>
        </is>
      </c>
      <c r="G265" t="n">
        <v>5000</v>
      </c>
      <c r="H265" t="inlineStr">
        <is>
          <t>2035-05-14T22:00:00Z</t>
        </is>
      </c>
      <c r="I265" t="n">
        <v>0.04969</v>
      </c>
      <c r="J265" t="n">
        <v>101.0614</v>
      </c>
      <c r="K265" t="n">
        <v>95.05</v>
      </c>
      <c r="L265" t="n">
        <v>1.1144</v>
      </c>
      <c r="M265" t="n">
        <v>4848.36</v>
      </c>
      <c r="N265" t="n">
        <v>95.86</v>
      </c>
      <c r="O265" t="n">
        <v>-5.94826511407916</v>
      </c>
      <c r="P265" t="n">
        <v>-2.33397536168487</v>
      </c>
      <c r="Q265" t="n">
        <v>3.56437931134777</v>
      </c>
    </row>
    <row r="266">
      <c r="A266" t="inlineStr">
        <is>
          <t>4.25% United States Treasury Notes 15.05.2035 Senior</t>
        </is>
      </c>
      <c r="B266" t="inlineStr">
        <is>
          <t>US91282CNC19</t>
        </is>
      </c>
      <c r="C266" t="inlineStr">
        <is>
          <t>Simon Fiduciaria S.p.A. - POS. FID. 6297</t>
        </is>
      </c>
      <c r="D266" t="n">
        <v>1660666.003</v>
      </c>
      <c r="E266" t="inlineStr">
        <is>
          <t>USD</t>
        </is>
      </c>
      <c r="F266" t="inlineStr">
        <is>
          <t>EUR</t>
        </is>
      </c>
      <c r="G266" t="n">
        <v>111300</v>
      </c>
      <c r="H266" t="inlineStr">
        <is>
          <t>2035-05-14T22:00:00Z</t>
        </is>
      </c>
      <c r="I266" t="n">
        <v>0.04969</v>
      </c>
      <c r="J266" t="n">
        <v>100.591347708894</v>
      </c>
      <c r="K266" t="n">
        <v>95.05</v>
      </c>
      <c r="L266" t="n">
        <v>1.1144</v>
      </c>
      <c r="M266" t="n">
        <v>107924.4</v>
      </c>
      <c r="N266" t="n">
        <v>2133.75</v>
      </c>
      <c r="O266" t="n">
        <v>-5.50877171357838</v>
      </c>
      <c r="P266" t="n">
        <v>-2.009062168574</v>
      </c>
      <c r="Q266" t="n">
        <v>3.62282153199743</v>
      </c>
    </row>
    <row r="267">
      <c r="A267" t="inlineStr">
        <is>
          <t>4.25% United States Treasury Notes 15.05.2035 Senior</t>
        </is>
      </c>
      <c r="B267" t="inlineStr">
        <is>
          <t>US91282CNC19</t>
        </is>
      </c>
      <c r="C267" t="inlineStr">
        <is>
          <t>Fariniundici S.p.A.</t>
        </is>
      </c>
      <c r="D267" t="n">
        <v>1644446.001</v>
      </c>
      <c r="E267" t="inlineStr">
        <is>
          <t>USD</t>
        </is>
      </c>
      <c r="F267" t="inlineStr">
        <is>
          <t>EUR</t>
        </is>
      </c>
      <c r="G267" t="n">
        <v>444000</v>
      </c>
      <c r="H267" t="inlineStr">
        <is>
          <t>2035-05-14T22:00:00Z</t>
        </is>
      </c>
      <c r="I267" t="n">
        <v>0.04969</v>
      </c>
      <c r="J267" t="n">
        <v>100.91074099099</v>
      </c>
      <c r="K267" t="n">
        <v>95.05</v>
      </c>
      <c r="L267" t="n">
        <v>1.1144</v>
      </c>
      <c r="M267" t="n">
        <v>430534.01</v>
      </c>
      <c r="N267" t="n">
        <v>8512.01</v>
      </c>
      <c r="O267" t="n">
        <v>-5.80784655175034</v>
      </c>
      <c r="P267" t="n">
        <v>-1.93701968899937</v>
      </c>
      <c r="Q267" t="n">
        <v>3.54777634934099</v>
      </c>
    </row>
    <row r="268">
      <c r="A268" t="inlineStr">
        <is>
          <t>4.25% United States Treasury Notes 15.05.2035 Senior</t>
        </is>
      </c>
      <c r="B268" t="inlineStr">
        <is>
          <t>US91282CNC19</t>
        </is>
      </c>
      <c r="C268" t="inlineStr">
        <is>
          <t>Bertini, Marco</t>
        </is>
      </c>
      <c r="D268" t="n">
        <v>112029.001</v>
      </c>
      <c r="E268" t="inlineStr">
        <is>
          <t>USD</t>
        </is>
      </c>
      <c r="F268" t="inlineStr">
        <is>
          <t>USD</t>
        </is>
      </c>
      <c r="G268" t="n">
        <v>60600</v>
      </c>
      <c r="H268" t="inlineStr">
        <is>
          <t>2035-05-14T22:00:00Z</t>
        </is>
      </c>
      <c r="I268" t="n">
        <v>0.04969</v>
      </c>
      <c r="J268" t="n">
        <v>100.481864686468</v>
      </c>
      <c r="K268" t="n">
        <v>95.05</v>
      </c>
      <c r="L268" t="n">
        <v>1</v>
      </c>
      <c r="M268" t="n">
        <v>58762.07</v>
      </c>
      <c r="N268" t="n">
        <v>1161.77</v>
      </c>
      <c r="O268" t="n">
        <v>-5.40581596830191</v>
      </c>
      <c r="P268" t="n">
        <v>-5.40581596830191</v>
      </c>
      <c r="Q268" t="n">
        <v>3.80162573553545</v>
      </c>
    </row>
    <row r="269">
      <c r="A269" t="inlineStr">
        <is>
          <t>4.25% United States Treasury Notes 15.05.2035 Senior</t>
        </is>
      </c>
      <c r="B269" t="inlineStr">
        <is>
          <t>US91282CNC19</t>
        </is>
      </c>
      <c r="C269" t="inlineStr">
        <is>
          <t>Ancona, Giselda</t>
        </is>
      </c>
      <c r="D269" t="n">
        <v>1648638.001</v>
      </c>
      <c r="E269" t="inlineStr">
        <is>
          <t>USD</t>
        </is>
      </c>
      <c r="F269" t="inlineStr">
        <is>
          <t>EUR</t>
        </is>
      </c>
      <c r="G269" t="n">
        <v>40900</v>
      </c>
      <c r="H269" t="inlineStr">
        <is>
          <t>2035-05-14T22:00:00Z</t>
        </is>
      </c>
      <c r="I269" t="n">
        <v>0.04969</v>
      </c>
      <c r="J269" t="n">
        <v>100.591980440097</v>
      </c>
      <c r="K269" t="n">
        <v>95.05</v>
      </c>
      <c r="L269" t="n">
        <v>1.1144</v>
      </c>
      <c r="M269" t="n">
        <v>39659.55</v>
      </c>
      <c r="N269" t="n">
        <v>784.1</v>
      </c>
      <c r="O269" t="n">
        <v>-5.50936607058654</v>
      </c>
      <c r="P269" t="n">
        <v>-2.01284669056003</v>
      </c>
      <c r="Q269" t="n">
        <v>3.66811672359211</v>
      </c>
    </row>
    <row r="270">
      <c r="A270" t="inlineStr">
        <is>
          <t>4.25% United States Treasury Notes 15.05.2035 Senior</t>
        </is>
      </c>
      <c r="B270" t="inlineStr">
        <is>
          <t>US91282CNC19</t>
        </is>
      </c>
      <c r="C270" t="inlineStr">
        <is>
          <t>Virlinzi, Francesco</t>
        </is>
      </c>
      <c r="D270" t="n">
        <v>1648903.001</v>
      </c>
      <c r="E270" t="inlineStr">
        <is>
          <t>USD</t>
        </is>
      </c>
      <c r="F270" t="inlineStr">
        <is>
          <t>EUR</t>
        </is>
      </c>
      <c r="G270" t="n">
        <v>380700</v>
      </c>
      <c r="H270" t="inlineStr">
        <is>
          <t>2035-05-14T22:00:00Z</t>
        </is>
      </c>
      <c r="I270" t="n">
        <v>0.04969</v>
      </c>
      <c r="J270" t="n">
        <v>100.603159968479</v>
      </c>
      <c r="K270" t="n">
        <v>95.05</v>
      </c>
      <c r="L270" t="n">
        <v>1.1144</v>
      </c>
      <c r="M270" t="n">
        <v>369153.82</v>
      </c>
      <c r="N270" t="n">
        <v>7298.47</v>
      </c>
      <c r="O270" t="n">
        <v>-5.51986634437628</v>
      </c>
      <c r="P270" t="n">
        <v>-2.02079389055631</v>
      </c>
      <c r="Q270" t="n">
        <v>3.57416157475266</v>
      </c>
    </row>
    <row r="271">
      <c r="A271" t="inlineStr">
        <is>
          <t>4.25% United States Treasury Notes 15.05.2035 Senior</t>
        </is>
      </c>
      <c r="B271" t="inlineStr">
        <is>
          <t>US91282CNC19</t>
        </is>
      </c>
      <c r="C271" t="inlineStr">
        <is>
          <t>Malerba, Maria Clara</t>
        </is>
      </c>
      <c r="D271" t="n">
        <v>1632673.001</v>
      </c>
      <c r="E271" t="inlineStr">
        <is>
          <t>USD</t>
        </is>
      </c>
      <c r="F271" t="inlineStr">
        <is>
          <t>EUR</t>
        </is>
      </c>
      <c r="G271" t="n">
        <v>229700</v>
      </c>
      <c r="H271" t="inlineStr">
        <is>
          <t>2035-05-14T22:00:00Z</t>
        </is>
      </c>
      <c r="I271" t="n">
        <v>0.04969</v>
      </c>
      <c r="J271" t="n">
        <v>99.7493687418371</v>
      </c>
      <c r="K271" t="n">
        <v>95.05</v>
      </c>
      <c r="L271" t="n">
        <v>1.1144</v>
      </c>
      <c r="M271" t="n">
        <v>222733.47</v>
      </c>
      <c r="N271" t="n">
        <v>4403.62</v>
      </c>
      <c r="O271" t="n">
        <v>-4.71117642257936</v>
      </c>
      <c r="P271" t="n">
        <v>-1.56523058610667</v>
      </c>
      <c r="Q271" t="n">
        <v>3.79939756429794</v>
      </c>
    </row>
    <row r="272">
      <c r="A272" t="inlineStr">
        <is>
          <t>4.25% United States Treasury Notes 15.05.2035 Senior</t>
        </is>
      </c>
      <c r="B272" t="inlineStr">
        <is>
          <t>US91282CNC19</t>
        </is>
      </c>
      <c r="C272" t="inlineStr">
        <is>
          <t>Galli, Federico</t>
        </is>
      </c>
      <c r="D272" t="n">
        <v>1621661.001</v>
      </c>
      <c r="E272" t="inlineStr">
        <is>
          <t>USD</t>
        </is>
      </c>
      <c r="F272" t="inlineStr">
        <is>
          <t>EUR</t>
        </is>
      </c>
      <c r="G272" t="n">
        <v>21900</v>
      </c>
      <c r="H272" t="inlineStr">
        <is>
          <t>2035-05-14T22:00:00Z</t>
        </is>
      </c>
      <c r="I272" t="n">
        <v>0.04969</v>
      </c>
      <c r="J272" t="n">
        <v>100.558812785388</v>
      </c>
      <c r="K272" t="n">
        <v>95.05</v>
      </c>
      <c r="L272" t="n">
        <v>1.1144</v>
      </c>
      <c r="M272" t="n">
        <v>21235.8</v>
      </c>
      <c r="N272" t="n">
        <v>419.85</v>
      </c>
      <c r="O272" t="n">
        <v>-5.47819990391592</v>
      </c>
      <c r="P272" t="n">
        <v>-1.98976571977885</v>
      </c>
      <c r="Q272" t="n">
        <v>3.46439644299869</v>
      </c>
    </row>
    <row r="273">
      <c r="A273" t="inlineStr">
        <is>
          <t>4.25% United States Treasury Notes 15.05.2035 Senior</t>
        </is>
      </c>
      <c r="B273" t="inlineStr">
        <is>
          <t>US91282CNC19</t>
        </is>
      </c>
      <c r="C273" t="inlineStr">
        <is>
          <t>BISVALLES ASSETS INC.</t>
        </is>
      </c>
      <c r="D273" t="n">
        <v>1649314.001</v>
      </c>
      <c r="E273" t="inlineStr">
        <is>
          <t>USD</t>
        </is>
      </c>
      <c r="F273" t="inlineStr">
        <is>
          <t>EUR</t>
        </is>
      </c>
      <c r="G273" t="n">
        <v>401600</v>
      </c>
      <c r="H273" t="inlineStr">
        <is>
          <t>2035-05-14T22:00:00Z</t>
        </is>
      </c>
      <c r="I273" t="n">
        <v>0.04969</v>
      </c>
      <c r="J273" t="n">
        <v>100.941170318725</v>
      </c>
      <c r="K273" t="n">
        <v>95.05</v>
      </c>
      <c r="L273" t="n">
        <v>1.1144</v>
      </c>
      <c r="M273" t="n">
        <v>389419.95</v>
      </c>
      <c r="N273" t="n">
        <v>7699.15</v>
      </c>
      <c r="O273" t="n">
        <v>-5.83624134743389</v>
      </c>
      <c r="P273" t="n">
        <v>-2.08594343902222</v>
      </c>
      <c r="Q273" t="n">
        <v>3.60762393915966</v>
      </c>
    </row>
    <row r="274">
      <c r="A274" t="inlineStr">
        <is>
          <t>4.25% United States Treasury Notes 15.05.2035 Senior</t>
        </is>
      </c>
      <c r="B274" t="inlineStr">
        <is>
          <t>US91282CNC19</t>
        </is>
      </c>
      <c r="C274" t="inlineStr">
        <is>
          <t>Laruffa, Serena</t>
        </is>
      </c>
      <c r="D274" t="n">
        <v>1596193.001</v>
      </c>
      <c r="E274" t="inlineStr">
        <is>
          <t>USD</t>
        </is>
      </c>
      <c r="F274" t="inlineStr">
        <is>
          <t>EUR</t>
        </is>
      </c>
      <c r="G274" t="n">
        <v>138000</v>
      </c>
      <c r="H274" t="inlineStr">
        <is>
          <t>2035-05-14T22:00:00Z</t>
        </is>
      </c>
      <c r="I274" t="n">
        <v>0.04969</v>
      </c>
      <c r="J274" t="n">
        <v>100.624876811594</v>
      </c>
      <c r="K274" t="n">
        <v>95.05</v>
      </c>
      <c r="L274" t="n">
        <v>1.1144</v>
      </c>
      <c r="M274" t="n">
        <v>133814.63</v>
      </c>
      <c r="N274" t="n">
        <v>2645.63</v>
      </c>
      <c r="O274" t="n">
        <v>-5.54025703011032</v>
      </c>
      <c r="P274" t="n">
        <v>-2.03213023292824</v>
      </c>
      <c r="Q274" t="n">
        <v>3.94247849772977</v>
      </c>
    </row>
    <row r="275">
      <c r="A275" t="inlineStr">
        <is>
          <t>4.25% United States Treasury Notes 15.05.2035 Senior</t>
        </is>
      </c>
      <c r="B275" t="inlineStr">
        <is>
          <t>US91282CNC19</t>
        </is>
      </c>
      <c r="C275" t="inlineStr">
        <is>
          <t>Hera Società Fiduciaria e di revisione S.p.A. - - 05361</t>
        </is>
      </c>
      <c r="D275" t="n">
        <v>1706128.001</v>
      </c>
      <c r="E275" t="inlineStr">
        <is>
          <t>USD</t>
        </is>
      </c>
      <c r="F275" t="inlineStr">
        <is>
          <t>EUR</t>
        </is>
      </c>
      <c r="G275" t="n">
        <v>43200</v>
      </c>
      <c r="H275" t="inlineStr">
        <is>
          <t>2035-05-14T22:00:00Z</t>
        </is>
      </c>
      <c r="I275" t="n">
        <v>0.04969</v>
      </c>
      <c r="J275" t="n">
        <v>100.570578703703</v>
      </c>
      <c r="K275" t="n">
        <v>95.05</v>
      </c>
      <c r="L275" t="n">
        <v>1.1144</v>
      </c>
      <c r="M275" t="n">
        <v>41889.8</v>
      </c>
      <c r="N275" t="n">
        <v>828.2</v>
      </c>
      <c r="O275" t="n">
        <v>-5.48925816561936</v>
      </c>
      <c r="P275" t="n">
        <v>-2.00175437103298</v>
      </c>
      <c r="Q275" t="n">
        <v>3.71206805639486</v>
      </c>
    </row>
    <row r="276">
      <c r="A276" t="inlineStr">
        <is>
          <t>4.25% United States Treasury Notes 15.05.2035 Senior</t>
        </is>
      </c>
      <c r="B276" t="inlineStr">
        <is>
          <t>US91282CNC19</t>
        </is>
      </c>
      <c r="C276" t="inlineStr">
        <is>
          <t>Lettieri, Umberto</t>
        </is>
      </c>
      <c r="D276" t="n">
        <v>1710712.001</v>
      </c>
      <c r="E276" t="inlineStr">
        <is>
          <t>USD</t>
        </is>
      </c>
      <c r="F276" t="inlineStr">
        <is>
          <t>USD</t>
        </is>
      </c>
      <c r="G276" t="n">
        <v>93500</v>
      </c>
      <c r="H276" t="inlineStr">
        <is>
          <t>2035-05-14T22:00:00Z</t>
        </is>
      </c>
      <c r="I276" t="n">
        <v>0.04969</v>
      </c>
      <c r="J276" t="n">
        <v>99.0600641711229</v>
      </c>
      <c r="K276" t="n">
        <v>95.05</v>
      </c>
      <c r="L276" t="n">
        <v>1</v>
      </c>
      <c r="M276" t="n">
        <v>90664.25999999999</v>
      </c>
      <c r="N276" t="n">
        <v>1792.51</v>
      </c>
      <c r="O276" t="n">
        <v>-4.04811384353208</v>
      </c>
      <c r="P276" t="n">
        <v>-4.04811384353208</v>
      </c>
      <c r="Q276" t="n">
        <v>6.29254809502508</v>
      </c>
    </row>
    <row r="277">
      <c r="A277" t="inlineStr">
        <is>
          <t>4.25% United States Treasury Notes 15.05.2035 Senior</t>
        </is>
      </c>
      <c r="B277" t="inlineStr">
        <is>
          <t>US91282CNC19</t>
        </is>
      </c>
      <c r="C277" t="inlineStr">
        <is>
          <t>Laruffa, Alessia</t>
        </is>
      </c>
      <c r="D277" t="n">
        <v>1596151.001</v>
      </c>
      <c r="E277" t="inlineStr">
        <is>
          <t>USD</t>
        </is>
      </c>
      <c r="F277" t="inlineStr">
        <is>
          <t>EUR</t>
        </is>
      </c>
      <c r="G277" t="n">
        <v>111300</v>
      </c>
      <c r="H277" t="inlineStr">
        <is>
          <t>2035-05-14T22:00:00Z</t>
        </is>
      </c>
      <c r="I277" t="n">
        <v>0.04969</v>
      </c>
      <c r="J277" t="n">
        <v>100.64414195867</v>
      </c>
      <c r="K277" t="n">
        <v>95.05</v>
      </c>
      <c r="L277" t="n">
        <v>1.1144</v>
      </c>
      <c r="M277" t="n">
        <v>107924.4</v>
      </c>
      <c r="N277" t="n">
        <v>2133.75</v>
      </c>
      <c r="O277" t="n">
        <v>-5.55833836903046</v>
      </c>
      <c r="P277" t="n">
        <v>-2.05127575444867</v>
      </c>
      <c r="Q277" t="n">
        <v>4.16531402083406</v>
      </c>
    </row>
    <row r="278">
      <c r="A278" t="inlineStr">
        <is>
          <t>4.25% United States Treasury Notes 15.05.2035 Senior</t>
        </is>
      </c>
      <c r="B278" t="inlineStr">
        <is>
          <t>US91282CNC19</t>
        </is>
      </c>
      <c r="C278" t="inlineStr">
        <is>
          <t>Siciliano, Rosanna</t>
        </is>
      </c>
      <c r="D278" t="n">
        <v>1597944.001</v>
      </c>
      <c r="E278" t="inlineStr">
        <is>
          <t>USD</t>
        </is>
      </c>
      <c r="F278" t="inlineStr">
        <is>
          <t>EUR</t>
        </is>
      </c>
      <c r="G278" t="n">
        <v>80200</v>
      </c>
      <c r="H278" t="inlineStr">
        <is>
          <t>2035-05-14T22:00:00Z</t>
        </is>
      </c>
      <c r="I278" t="n">
        <v>0.04969</v>
      </c>
      <c r="J278" t="n">
        <v>100.624563591022</v>
      </c>
      <c r="K278" t="n">
        <v>95.05</v>
      </c>
      <c r="L278" t="n">
        <v>1.1144</v>
      </c>
      <c r="M278" t="n">
        <v>77767.63</v>
      </c>
      <c r="N278" t="n">
        <v>1537.53</v>
      </c>
      <c r="O278" t="n">
        <v>-5.53996299917349</v>
      </c>
      <c r="P278" t="n">
        <v>-2.04203769845247</v>
      </c>
      <c r="Q278" t="n">
        <v>4.16652744711725</v>
      </c>
    </row>
    <row r="279">
      <c r="A279" t="inlineStr">
        <is>
          <t>4.3% Italy Treasury Bonds 01.10.2054 Reg-S Senior</t>
        </is>
      </c>
      <c r="B279" t="inlineStr">
        <is>
          <t>IT0005611741</t>
        </is>
      </c>
      <c r="C279" t="inlineStr">
        <is>
          <t>Petrassi, Raffaele</t>
        </is>
      </c>
      <c r="D279" t="n">
        <v>1656189.001</v>
      </c>
      <c r="E279" t="inlineStr">
        <is>
          <t>EUR</t>
        </is>
      </c>
      <c r="F279" t="inlineStr">
        <is>
          <t>EUR</t>
        </is>
      </c>
      <c r="G279" t="n">
        <v>20000</v>
      </c>
      <c r="H279" t="inlineStr">
        <is>
          <t>2054-09-30T22:00:00Z</t>
        </is>
      </c>
      <c r="I279" t="n">
        <v>0.0502769416</v>
      </c>
      <c r="J279" t="n">
        <v>99.55015</v>
      </c>
      <c r="K279" t="n">
        <v>90.11499999999999</v>
      </c>
      <c r="L279" t="n">
        <v>1</v>
      </c>
      <c r="M279" t="n">
        <v>18086.79</v>
      </c>
      <c r="N279" t="n">
        <v>63.79</v>
      </c>
      <c r="O279" t="n">
        <v>-9.477785819509061</v>
      </c>
      <c r="P279" t="n">
        <v>-9.477785819509061</v>
      </c>
      <c r="Q279" t="n">
        <v>5.7495165289314</v>
      </c>
    </row>
    <row r="280">
      <c r="A280" t="inlineStr">
        <is>
          <t>4.3% Italy Treasury Bonds 01.10.2054 Reg-S Senior</t>
        </is>
      </c>
      <c r="B280" t="inlineStr">
        <is>
          <t>IT0005611741</t>
        </is>
      </c>
      <c r="C280" t="inlineStr">
        <is>
          <t>Laruffa, Sergio</t>
        </is>
      </c>
      <c r="D280" t="n">
        <v>1591822.001</v>
      </c>
      <c r="E280" t="inlineStr">
        <is>
          <t>EUR</t>
        </is>
      </c>
      <c r="F280" t="inlineStr">
        <is>
          <t>USD</t>
        </is>
      </c>
      <c r="G280" t="n">
        <v>291000</v>
      </c>
      <c r="H280" t="inlineStr">
        <is>
          <t>2054-09-30T22:00:00Z</t>
        </is>
      </c>
      <c r="I280" t="n">
        <v>0.0502769416</v>
      </c>
      <c r="J280" t="n">
        <v>97.5258006872852</v>
      </c>
      <c r="K280" t="n">
        <v>90.11499999999999</v>
      </c>
      <c r="L280" t="n">
        <v>1.1144</v>
      </c>
      <c r="M280" t="n">
        <v>263162.81</v>
      </c>
      <c r="N280" t="n">
        <v>928.16</v>
      </c>
      <c r="O280" t="n">
        <v>-7.59881040202666</v>
      </c>
      <c r="P280" t="n">
        <v>-10.993375042924</v>
      </c>
      <c r="Q280" t="n">
        <v>5.98762946115187</v>
      </c>
    </row>
    <row r="281">
      <c r="A281" t="inlineStr">
        <is>
          <t>4.3% Italy Treasury Bonds 01.10.2054 Reg-S Senior</t>
        </is>
      </c>
      <c r="B281" t="inlineStr">
        <is>
          <t>IT0005611741</t>
        </is>
      </c>
      <c r="C281" t="inlineStr">
        <is>
          <t>Bucchioni, Fabio</t>
        </is>
      </c>
      <c r="D281" t="n">
        <v>1592092.001</v>
      </c>
      <c r="E281" t="inlineStr">
        <is>
          <t>EUR</t>
        </is>
      </c>
      <c r="F281" t="inlineStr">
        <is>
          <t>EUR</t>
        </is>
      </c>
      <c r="G281" t="n">
        <v>33000</v>
      </c>
      <c r="H281" t="inlineStr">
        <is>
          <t>2054-09-30T22:00:00Z</t>
        </is>
      </c>
      <c r="I281" t="n">
        <v>0.0502769416</v>
      </c>
      <c r="J281" t="n">
        <v>99.4516666666666</v>
      </c>
      <c r="K281" t="n">
        <v>90.11499999999999</v>
      </c>
      <c r="L281" t="n">
        <v>1</v>
      </c>
      <c r="M281" t="n">
        <v>29843.21</v>
      </c>
      <c r="N281" t="n">
        <v>105.26</v>
      </c>
      <c r="O281" t="n">
        <v>-9.388144995056219</v>
      </c>
      <c r="P281" t="n">
        <v>-9.388144995056219</v>
      </c>
      <c r="Q281" t="n">
        <v>6.05429710567764</v>
      </c>
    </row>
    <row r="282">
      <c r="A282" t="inlineStr">
        <is>
          <t>4.3% Italy Treasury Bonds 01.10.2054 Reg-S Senior</t>
        </is>
      </c>
      <c r="B282" t="inlineStr">
        <is>
          <t>IT0005611741</t>
        </is>
      </c>
      <c r="C282" t="inlineStr">
        <is>
          <t>Alemagna, Alberto Pietro</t>
        </is>
      </c>
      <c r="D282" t="n">
        <v>1627998.001</v>
      </c>
      <c r="E282" t="inlineStr">
        <is>
          <t>EUR</t>
        </is>
      </c>
      <c r="F282" t="inlineStr">
        <is>
          <t>EUR</t>
        </is>
      </c>
      <c r="G282" t="n">
        <v>174000</v>
      </c>
      <c r="H282" t="inlineStr">
        <is>
          <t>2054-09-30T22:00:00Z</t>
        </is>
      </c>
      <c r="I282" t="n">
        <v>0.0502769416</v>
      </c>
      <c r="J282" t="n">
        <v>98.8851264367816</v>
      </c>
      <c r="K282" t="n">
        <v>90.11499999999999</v>
      </c>
      <c r="L282" t="n">
        <v>1</v>
      </c>
      <c r="M282" t="n">
        <v>157355.08</v>
      </c>
      <c r="N282" t="n">
        <v>554.98</v>
      </c>
      <c r="O282" t="n">
        <v>-8.86900462466258</v>
      </c>
      <c r="P282" t="n">
        <v>-8.86900462466258</v>
      </c>
      <c r="Q282" t="n">
        <v>5.56900293727019</v>
      </c>
    </row>
    <row r="283">
      <c r="A283" t="inlineStr">
        <is>
          <t>4.3% Italy Treasury Bonds 01.10.2054 Reg-S Senior</t>
        </is>
      </c>
      <c r="B283" t="inlineStr">
        <is>
          <t>IT0005611741</t>
        </is>
      </c>
      <c r="C283" t="inlineStr">
        <is>
          <t>Simon Fiduciaria S.p.A. - POS. FID. 6297</t>
        </is>
      </c>
      <c r="D283" t="n">
        <v>1660666.001</v>
      </c>
      <c r="E283" t="inlineStr">
        <is>
          <t>EUR</t>
        </is>
      </c>
      <c r="F283" t="inlineStr">
        <is>
          <t>EUR</t>
        </is>
      </c>
      <c r="G283" t="n">
        <v>253000</v>
      </c>
      <c r="H283" t="inlineStr">
        <is>
          <t>2054-09-30T22:00:00Z</t>
        </is>
      </c>
      <c r="I283" t="n">
        <v>0.0502769416</v>
      </c>
      <c r="J283" t="n">
        <v>99.30386166007899</v>
      </c>
      <c r="K283" t="n">
        <v>90.11499999999999</v>
      </c>
      <c r="L283" t="n">
        <v>1</v>
      </c>
      <c r="M283" t="n">
        <v>228797.91</v>
      </c>
      <c r="N283" t="n">
        <v>806.96</v>
      </c>
      <c r="O283" t="n">
        <v>-9.2532772708607</v>
      </c>
      <c r="P283" t="n">
        <v>-9.2532772708607</v>
      </c>
      <c r="Q283" t="n">
        <v>6.07381159720182</v>
      </c>
    </row>
    <row r="284">
      <c r="A284" t="inlineStr">
        <is>
          <t>4.3% Italy Treasury Bonds 01.10.2054 Reg-S Senior</t>
        </is>
      </c>
      <c r="B284" t="inlineStr">
        <is>
          <t>IT0005611741</t>
        </is>
      </c>
      <c r="C284" t="inlineStr">
        <is>
          <t>Marchesi, Riccardo</t>
        </is>
      </c>
      <c r="D284" t="n">
        <v>1592866.001</v>
      </c>
      <c r="E284" t="inlineStr">
        <is>
          <t>EUR</t>
        </is>
      </c>
      <c r="F284" t="inlineStr">
        <is>
          <t>EUR</t>
        </is>
      </c>
      <c r="G284" t="n">
        <v>83000</v>
      </c>
      <c r="H284" t="inlineStr">
        <is>
          <t>2054-09-30T22:00:00Z</t>
        </is>
      </c>
      <c r="I284" t="n">
        <v>0.0502769416</v>
      </c>
      <c r="J284" t="n">
        <v>99.352</v>
      </c>
      <c r="K284" t="n">
        <v>90.11499999999999</v>
      </c>
      <c r="L284" t="n">
        <v>1</v>
      </c>
      <c r="M284" t="n">
        <v>75060.17999999999</v>
      </c>
      <c r="N284" t="n">
        <v>264.73</v>
      </c>
      <c r="O284" t="n">
        <v>-9.297246155084951</v>
      </c>
      <c r="P284" t="n">
        <v>-9.297246155084951</v>
      </c>
      <c r="Q284" t="n">
        <v>5.87297687542417</v>
      </c>
    </row>
    <row r="285">
      <c r="A285" t="inlineStr">
        <is>
          <t>4.3% Italy Treasury Bonds 01.10.2054 Reg-S Senior</t>
        </is>
      </c>
      <c r="B285" t="inlineStr">
        <is>
          <t>IT0005611741</t>
        </is>
      </c>
      <c r="C285" t="inlineStr">
        <is>
          <t>Saira Holding S.r.L.</t>
        </is>
      </c>
      <c r="D285" t="n">
        <v>1690341.001</v>
      </c>
      <c r="E285" t="inlineStr">
        <is>
          <t>EUR</t>
        </is>
      </c>
      <c r="F285" t="inlineStr">
        <is>
          <t>EUR</t>
        </is>
      </c>
      <c r="G285" t="n">
        <v>12000</v>
      </c>
      <c r="H285" t="inlineStr">
        <is>
          <t>2054-09-30T22:00:00Z</t>
        </is>
      </c>
      <c r="I285" t="n">
        <v>0.0502769416</v>
      </c>
      <c r="J285" t="n">
        <v>98.0559166666666</v>
      </c>
      <c r="K285" t="n">
        <v>90.11499999999999</v>
      </c>
      <c r="L285" t="n">
        <v>1</v>
      </c>
      <c r="M285" t="n">
        <v>10852.07</v>
      </c>
      <c r="N285" t="n">
        <v>38.27</v>
      </c>
      <c r="O285" t="n">
        <v>-8.09835544514991</v>
      </c>
      <c r="P285" t="n">
        <v>-8.09835544514991</v>
      </c>
      <c r="Q285" t="n">
        <v>6.31800456672577</v>
      </c>
    </row>
    <row r="286">
      <c r="A286" t="inlineStr">
        <is>
          <t>4.3% Italy Treasury Bonds 01.10.2054 Reg-S Senior</t>
        </is>
      </c>
      <c r="B286" t="inlineStr">
        <is>
          <t>IT0005611741</t>
        </is>
      </c>
      <c r="C286" t="inlineStr">
        <is>
          <t>Minardi, Mario Paolo</t>
        </is>
      </c>
      <c r="D286" t="n">
        <v>1650579.001</v>
      </c>
      <c r="E286" t="inlineStr">
        <is>
          <t>EUR</t>
        </is>
      </c>
      <c r="F286" t="inlineStr">
        <is>
          <t>EUR</t>
        </is>
      </c>
      <c r="G286" t="n">
        <v>36000</v>
      </c>
      <c r="H286" t="inlineStr">
        <is>
          <t>2054-09-30T22:00:00Z</t>
        </is>
      </c>
      <c r="I286" t="n">
        <v>0.0502769416</v>
      </c>
      <c r="J286" t="n">
        <v>99.56969444444439</v>
      </c>
      <c r="K286" t="n">
        <v>90.11499999999999</v>
      </c>
      <c r="L286" t="n">
        <v>1</v>
      </c>
      <c r="M286" t="n">
        <v>32556.22</v>
      </c>
      <c r="N286" t="n">
        <v>114.82</v>
      </c>
      <c r="O286" t="n">
        <v>-9.4955543423102</v>
      </c>
      <c r="P286" t="n">
        <v>-9.4955543423102</v>
      </c>
      <c r="Q286" t="n">
        <v>5.78226433653432</v>
      </c>
    </row>
    <row r="287">
      <c r="A287" t="inlineStr">
        <is>
          <t>4.3% Italy Treasury Bonds 01.10.2054 Reg-S Senior</t>
        </is>
      </c>
      <c r="B287" t="inlineStr">
        <is>
          <t>IT0005611741</t>
        </is>
      </c>
      <c r="C287" t="inlineStr">
        <is>
          <t>Cariboni, Elisa</t>
        </is>
      </c>
      <c r="D287" t="n">
        <v>1600379.001</v>
      </c>
      <c r="E287" t="inlineStr">
        <is>
          <t>EUR</t>
        </is>
      </c>
      <c r="F287" t="inlineStr">
        <is>
          <t>EUR</t>
        </is>
      </c>
      <c r="G287" t="n">
        <v>89000</v>
      </c>
      <c r="H287" t="inlineStr">
        <is>
          <t>2054-09-30T22:00:00Z</t>
        </is>
      </c>
      <c r="I287" t="n">
        <v>0.0502769416</v>
      </c>
      <c r="J287" t="n">
        <v>99.24030337078651</v>
      </c>
      <c r="K287" t="n">
        <v>90.11499999999999</v>
      </c>
      <c r="L287" t="n">
        <v>1</v>
      </c>
      <c r="M287" t="n">
        <v>80486.22</v>
      </c>
      <c r="N287" t="n">
        <v>283.87</v>
      </c>
      <c r="O287" t="n">
        <v>-9.19515868133948</v>
      </c>
      <c r="P287" t="n">
        <v>-9.19515868133948</v>
      </c>
      <c r="Q287" t="n">
        <v>6.26644366661147</v>
      </c>
    </row>
    <row r="288">
      <c r="A288" t="inlineStr">
        <is>
          <t>4.3% Italy Treasury Bonds 01.10.2054 Reg-S Senior</t>
        </is>
      </c>
      <c r="B288" t="inlineStr">
        <is>
          <t>IT0005611741</t>
        </is>
      </c>
      <c r="C288" t="inlineStr">
        <is>
          <t>Hera Società Fiduciaria e di revisione S.p.A. -   05250</t>
        </is>
      </c>
      <c r="D288" t="n">
        <v>1696403.001</v>
      </c>
      <c r="E288" t="inlineStr">
        <is>
          <t>EUR</t>
        </is>
      </c>
      <c r="F288" t="inlineStr">
        <is>
          <t>EUR</t>
        </is>
      </c>
      <c r="G288" t="n">
        <v>45000</v>
      </c>
      <c r="H288" t="inlineStr">
        <is>
          <t>2054-09-30T22:00:00Z</t>
        </is>
      </c>
      <c r="I288" t="n">
        <v>0.0502769416</v>
      </c>
      <c r="J288" t="n">
        <v>97.7676222222222</v>
      </c>
      <c r="K288" t="n">
        <v>90.11499999999999</v>
      </c>
      <c r="L288" t="n">
        <v>1</v>
      </c>
      <c r="M288" t="n">
        <v>40695.28</v>
      </c>
      <c r="N288" t="n">
        <v>143.53</v>
      </c>
      <c r="O288" t="n">
        <v>-7.82735843245537</v>
      </c>
      <c r="P288" t="n">
        <v>-7.82735843245537</v>
      </c>
      <c r="Q288" t="n">
        <v>6.22343398022651</v>
      </c>
    </row>
    <row r="289">
      <c r="A289" t="inlineStr">
        <is>
          <t>4.3% Italy Treasury Bonds 01.10.2054 Reg-S Senior</t>
        </is>
      </c>
      <c r="B289" t="inlineStr">
        <is>
          <t>IT0005611741</t>
        </is>
      </c>
      <c r="C289" t="inlineStr">
        <is>
          <t>Lettieri, Riccardo</t>
        </is>
      </c>
      <c r="D289" t="n">
        <v>1660765.001</v>
      </c>
      <c r="E289" t="inlineStr">
        <is>
          <t>EUR</t>
        </is>
      </c>
      <c r="F289" t="inlineStr">
        <is>
          <t>EUR</t>
        </is>
      </c>
      <c r="G289" t="n">
        <v>77000</v>
      </c>
      <c r="H289" t="inlineStr">
        <is>
          <t>2054-09-30T22:00:00Z</t>
        </is>
      </c>
      <c r="I289" t="n">
        <v>0.0502769416</v>
      </c>
      <c r="J289" t="n">
        <v>99.4434935064935</v>
      </c>
      <c r="K289" t="n">
        <v>90.11499999999999</v>
      </c>
      <c r="L289" t="n">
        <v>1</v>
      </c>
      <c r="M289" t="n">
        <v>69634.14999999999</v>
      </c>
      <c r="N289" t="n">
        <v>245.6</v>
      </c>
      <c r="O289" t="n">
        <v>-9.380697698320869</v>
      </c>
      <c r="P289" t="n">
        <v>-9.380697698320869</v>
      </c>
      <c r="Q289" t="n">
        <v>8.40914212854233</v>
      </c>
    </row>
    <row r="290">
      <c r="A290" t="inlineStr">
        <is>
          <t>4.3% Italy Treasury Bonds 01.10.2054 Reg-S Senior</t>
        </is>
      </c>
      <c r="B290" t="inlineStr">
        <is>
          <t>IT0005611741</t>
        </is>
      </c>
      <c r="C290" t="inlineStr">
        <is>
          <t>Alemagna, Tancredi Luigi</t>
        </is>
      </c>
      <c r="D290" t="n">
        <v>1619782.001</v>
      </c>
      <c r="E290" t="inlineStr">
        <is>
          <t>EUR</t>
        </is>
      </c>
      <c r="F290" t="inlineStr">
        <is>
          <t>EUR</t>
        </is>
      </c>
      <c r="G290" t="n">
        <v>188000</v>
      </c>
      <c r="H290" t="inlineStr">
        <is>
          <t>2054-09-30T22:00:00Z</t>
        </is>
      </c>
      <c r="I290" t="n">
        <v>0.0502769416</v>
      </c>
      <c r="J290" t="n">
        <v>99.39949468085101</v>
      </c>
      <c r="K290" t="n">
        <v>90.11499999999999</v>
      </c>
      <c r="L290" t="n">
        <v>1</v>
      </c>
      <c r="M290" t="n">
        <v>170015.84</v>
      </c>
      <c r="N290" t="n">
        <v>599.64</v>
      </c>
      <c r="O290" t="n">
        <v>-9.34058539297553</v>
      </c>
      <c r="P290" t="n">
        <v>-9.34058539297553</v>
      </c>
      <c r="Q290" t="n">
        <v>6.50511492001715</v>
      </c>
    </row>
    <row r="291">
      <c r="A291" t="inlineStr">
        <is>
          <t>4.3% Italy Treasury Bonds 01.10.2054 Reg-S Senior</t>
        </is>
      </c>
      <c r="B291" t="inlineStr">
        <is>
          <t>IT0005611741</t>
        </is>
      </c>
      <c r="C291" t="inlineStr">
        <is>
          <t>Terenzi, Federico</t>
        </is>
      </c>
      <c r="D291" t="n">
        <v>1620379.001</v>
      </c>
      <c r="E291" t="inlineStr">
        <is>
          <t>EUR</t>
        </is>
      </c>
      <c r="F291" t="inlineStr">
        <is>
          <t>EUR</t>
        </is>
      </c>
      <c r="G291" t="n">
        <v>10000</v>
      </c>
      <c r="H291" t="inlineStr">
        <is>
          <t>2054-09-30T22:00:00Z</t>
        </is>
      </c>
      <c r="I291" t="n">
        <v>0.0502769416</v>
      </c>
      <c r="J291" t="n">
        <v>97.62869999999999</v>
      </c>
      <c r="K291" t="n">
        <v>90.11499999999999</v>
      </c>
      <c r="L291" t="n">
        <v>1</v>
      </c>
      <c r="M291" t="n">
        <v>9043.4</v>
      </c>
      <c r="N291" t="n">
        <v>31.9</v>
      </c>
      <c r="O291" t="n">
        <v>-7.69619999037168</v>
      </c>
      <c r="P291" t="n">
        <v>-7.69619999037168</v>
      </c>
      <c r="Q291" t="n">
        <v>7.40932215853019</v>
      </c>
    </row>
    <row r="292">
      <c r="A292" t="inlineStr">
        <is>
          <t>4.3% Italy Treasury Bonds 01.10.2054 Reg-S Senior</t>
        </is>
      </c>
      <c r="B292" t="inlineStr">
        <is>
          <t>IT0005611741</t>
        </is>
      </c>
      <c r="C292" t="inlineStr">
        <is>
          <t>Simon Fiduciaria S.p.A. - POS. FID. 6297</t>
        </is>
      </c>
      <c r="D292" t="n">
        <v>1660666.003</v>
      </c>
      <c r="E292" t="inlineStr">
        <is>
          <t>EUR</t>
        </is>
      </c>
      <c r="F292" t="inlineStr">
        <is>
          <t>EUR</t>
        </is>
      </c>
      <c r="G292" t="n">
        <v>182000</v>
      </c>
      <c r="H292" t="inlineStr">
        <is>
          <t>2054-09-30T22:00:00Z</t>
        </is>
      </c>
      <c r="I292" t="n">
        <v>0.0502769416</v>
      </c>
      <c r="J292" t="n">
        <v>99.3156318681318</v>
      </c>
      <c r="K292" t="n">
        <v>90.11499999999999</v>
      </c>
      <c r="L292" t="n">
        <v>1</v>
      </c>
      <c r="M292" t="n">
        <v>164589.8</v>
      </c>
      <c r="N292" t="n">
        <v>580.5</v>
      </c>
      <c r="O292" t="n">
        <v>-9.264031950527359</v>
      </c>
      <c r="P292" t="n">
        <v>-9.264031950527359</v>
      </c>
      <c r="Q292" t="n">
        <v>6.15727533393139</v>
      </c>
    </row>
    <row r="293">
      <c r="A293" t="inlineStr">
        <is>
          <t>4.3% Italy Treasury Bonds 01.10.2054 Reg-S Senior</t>
        </is>
      </c>
      <c r="B293" t="inlineStr">
        <is>
          <t>IT0005611741</t>
        </is>
      </c>
      <c r="C293" t="inlineStr">
        <is>
          <t>Fariniundici S.p.A.</t>
        </is>
      </c>
      <c r="D293" t="n">
        <v>1644446.001</v>
      </c>
      <c r="E293" t="inlineStr">
        <is>
          <t>EUR</t>
        </is>
      </c>
      <c r="F293" t="inlineStr">
        <is>
          <t>EUR</t>
        </is>
      </c>
      <c r="G293" t="n">
        <v>835000</v>
      </c>
      <c r="H293" t="inlineStr">
        <is>
          <t>2054-09-30T22:00:00Z</t>
        </is>
      </c>
      <c r="I293" t="n">
        <v>0.0502769416</v>
      </c>
      <c r="J293" t="n">
        <v>99.59591497005979</v>
      </c>
      <c r="K293" t="n">
        <v>90.11499999999999</v>
      </c>
      <c r="L293" t="n">
        <v>1</v>
      </c>
      <c r="M293" t="n">
        <v>755123.53</v>
      </c>
      <c r="N293" t="n">
        <v>2663.28</v>
      </c>
      <c r="O293" t="n">
        <v>-9.51938136509915</v>
      </c>
      <c r="P293" t="n">
        <v>-9.51938136509915</v>
      </c>
      <c r="Q293" t="n">
        <v>6.9346595594073</v>
      </c>
    </row>
    <row r="294">
      <c r="A294" t="inlineStr">
        <is>
          <t>4.3% Italy Treasury Bonds 01.10.2054 Reg-S Senior</t>
        </is>
      </c>
      <c r="B294" t="inlineStr">
        <is>
          <t>IT0005611741</t>
        </is>
      </c>
      <c r="C294" t="inlineStr">
        <is>
          <t>Bertini, Marco</t>
        </is>
      </c>
      <c r="D294" t="n">
        <v>112029.001</v>
      </c>
      <c r="E294" t="inlineStr">
        <is>
          <t>EUR</t>
        </is>
      </c>
      <c r="F294" t="inlineStr">
        <is>
          <t>USD</t>
        </is>
      </c>
      <c r="G294" t="n">
        <v>108000</v>
      </c>
      <c r="H294" t="inlineStr">
        <is>
          <t>2054-09-30T22:00:00Z</t>
        </is>
      </c>
      <c r="I294" t="n">
        <v>0.0502769416</v>
      </c>
      <c r="J294" t="n">
        <v>99.44089814814809</v>
      </c>
      <c r="K294" t="n">
        <v>90.11499999999999</v>
      </c>
      <c r="L294" t="n">
        <v>1.1144</v>
      </c>
      <c r="M294" t="n">
        <v>97668.67</v>
      </c>
      <c r="N294" t="n">
        <v>344.47</v>
      </c>
      <c r="O294" t="n">
        <v>-9.37833257927168</v>
      </c>
      <c r="P294" t="n">
        <v>-5.71994174688754</v>
      </c>
      <c r="Q294" t="n">
        <v>7.04183595440996</v>
      </c>
    </row>
    <row r="295">
      <c r="A295" t="inlineStr">
        <is>
          <t>4.3% Italy Treasury Bonds 01.10.2054 Reg-S Senior</t>
        </is>
      </c>
      <c r="B295" t="inlineStr">
        <is>
          <t>IT0005611741</t>
        </is>
      </c>
      <c r="C295" t="inlineStr">
        <is>
          <t>Ancona, Giselda</t>
        </is>
      </c>
      <c r="D295" t="n">
        <v>1648638.001</v>
      </c>
      <c r="E295" t="inlineStr">
        <is>
          <t>EUR</t>
        </is>
      </c>
      <c r="F295" t="inlineStr">
        <is>
          <t>EUR</t>
        </is>
      </c>
      <c r="G295" t="n">
        <v>72000</v>
      </c>
      <c r="H295" t="inlineStr">
        <is>
          <t>2054-09-30T22:00:00Z</t>
        </is>
      </c>
      <c r="I295" t="n">
        <v>0.0502769416</v>
      </c>
      <c r="J295" t="n">
        <v>97.7348472222222</v>
      </c>
      <c r="K295" t="n">
        <v>90.11499999999999</v>
      </c>
      <c r="L295" t="n">
        <v>1</v>
      </c>
      <c r="M295" t="n">
        <v>65112.45</v>
      </c>
      <c r="N295" t="n">
        <v>229.65</v>
      </c>
      <c r="O295" t="n">
        <v>-7.79644869643759</v>
      </c>
      <c r="P295" t="n">
        <v>-7.79644869643759</v>
      </c>
      <c r="Q295" t="n">
        <v>6.71147162150546</v>
      </c>
    </row>
    <row r="296">
      <c r="A296" t="inlineStr">
        <is>
          <t>4.3% Italy Treasury Bonds 01.10.2054 Reg-S Senior</t>
        </is>
      </c>
      <c r="B296" t="inlineStr">
        <is>
          <t>IT0005611741</t>
        </is>
      </c>
      <c r="C296" t="inlineStr">
        <is>
          <t>Virlinzi, Francesco</t>
        </is>
      </c>
      <c r="D296" t="n">
        <v>1648903.001</v>
      </c>
      <c r="E296" t="inlineStr">
        <is>
          <t>EUR</t>
        </is>
      </c>
      <c r="F296" t="inlineStr">
        <is>
          <t>EUR</t>
        </is>
      </c>
      <c r="G296" t="n">
        <v>609000</v>
      </c>
      <c r="H296" t="inlineStr">
        <is>
          <t>2054-09-30T22:00:00Z</t>
        </is>
      </c>
      <c r="I296" t="n">
        <v>0.0502769416</v>
      </c>
      <c r="J296" t="n">
        <v>97.6283333333333</v>
      </c>
      <c r="K296" t="n">
        <v>90.11499999999999</v>
      </c>
      <c r="L296" t="n">
        <v>1</v>
      </c>
      <c r="M296" t="n">
        <v>550742.79</v>
      </c>
      <c r="N296" t="n">
        <v>1942.44</v>
      </c>
      <c r="O296" t="n">
        <v>-7.69585332126944</v>
      </c>
      <c r="P296" t="n">
        <v>-7.69585332126944</v>
      </c>
      <c r="Q296" t="n">
        <v>5.94256578433341</v>
      </c>
    </row>
    <row r="297">
      <c r="A297" t="inlineStr">
        <is>
          <t>4.3% Italy Treasury Bonds 01.10.2054 Reg-S Senior</t>
        </is>
      </c>
      <c r="B297" t="inlineStr">
        <is>
          <t>IT0005611741</t>
        </is>
      </c>
      <c r="C297" t="inlineStr">
        <is>
          <t>Malerba, Maria Clara</t>
        </is>
      </c>
      <c r="D297" t="n">
        <v>1632673.001</v>
      </c>
      <c r="E297" t="inlineStr">
        <is>
          <t>EUR</t>
        </is>
      </c>
      <c r="F297" t="inlineStr">
        <is>
          <t>EUR</t>
        </is>
      </c>
      <c r="G297" t="n">
        <v>286000</v>
      </c>
      <c r="H297" t="inlineStr">
        <is>
          <t>2054-09-30T22:00:00Z</t>
        </is>
      </c>
      <c r="I297" t="n">
        <v>0.0502769416</v>
      </c>
      <c r="J297" t="n">
        <v>97.6873741258741</v>
      </c>
      <c r="K297" t="n">
        <v>90.11499999999999</v>
      </c>
      <c r="L297" t="n">
        <v>1</v>
      </c>
      <c r="M297" t="n">
        <v>258641.11</v>
      </c>
      <c r="N297" t="n">
        <v>912.21</v>
      </c>
      <c r="O297" t="n">
        <v>-7.7516405713975</v>
      </c>
      <c r="P297" t="n">
        <v>-7.7516405713975</v>
      </c>
      <c r="Q297" t="n">
        <v>4.91683003070399</v>
      </c>
    </row>
    <row r="298">
      <c r="A298" t="inlineStr">
        <is>
          <t>4.3% Italy Treasury Bonds 01.10.2054 Reg-S Senior</t>
        </is>
      </c>
      <c r="B298" t="inlineStr">
        <is>
          <t>IT0005611741</t>
        </is>
      </c>
      <c r="C298" t="inlineStr">
        <is>
          <t>Galli, Federico</t>
        </is>
      </c>
      <c r="D298" t="n">
        <v>1621661.001</v>
      </c>
      <c r="E298" t="inlineStr">
        <is>
          <t>EUR</t>
        </is>
      </c>
      <c r="F298" t="inlineStr">
        <is>
          <t>EUR</t>
        </is>
      </c>
      <c r="G298" t="n">
        <v>34000</v>
      </c>
      <c r="H298" t="inlineStr">
        <is>
          <t>2054-09-30T22:00:00Z</t>
        </is>
      </c>
      <c r="I298" t="n">
        <v>0.0502769416</v>
      </c>
      <c r="J298" t="n">
        <v>99.466794117647</v>
      </c>
      <c r="K298" t="n">
        <v>90.11499999999999</v>
      </c>
      <c r="L298" t="n">
        <v>1</v>
      </c>
      <c r="M298" t="n">
        <v>30747.55</v>
      </c>
      <c r="N298" t="n">
        <v>108.45</v>
      </c>
      <c r="O298" t="n">
        <v>-9.40192573874047</v>
      </c>
      <c r="P298" t="n">
        <v>-9.40192573874047</v>
      </c>
      <c r="Q298" t="n">
        <v>5.59020851957483</v>
      </c>
    </row>
    <row r="299">
      <c r="A299" t="inlineStr">
        <is>
          <t>4.3% Italy Treasury Bonds 01.10.2054 Reg-S Senior</t>
        </is>
      </c>
      <c r="B299" t="inlineStr">
        <is>
          <t>IT0005611741</t>
        </is>
      </c>
      <c r="C299" t="inlineStr">
        <is>
          <t>BISVALLES ASSETS INC.</t>
        </is>
      </c>
      <c r="D299" t="n">
        <v>1649314.001</v>
      </c>
      <c r="E299" t="inlineStr">
        <is>
          <t>EUR</t>
        </is>
      </c>
      <c r="F299" t="inlineStr">
        <is>
          <t>EUR</t>
        </is>
      </c>
      <c r="G299" t="n">
        <v>616000</v>
      </c>
      <c r="H299" t="inlineStr">
        <is>
          <t>2054-09-30T22:00:00Z</t>
        </is>
      </c>
      <c r="I299" t="n">
        <v>0.0502769416</v>
      </c>
      <c r="J299" t="n">
        <v>97.5880714285714</v>
      </c>
      <c r="K299" t="n">
        <v>90.11499999999999</v>
      </c>
      <c r="L299" t="n">
        <v>1</v>
      </c>
      <c r="M299" t="n">
        <v>557073.17</v>
      </c>
      <c r="N299" t="n">
        <v>1964.77</v>
      </c>
      <c r="O299" t="n">
        <v>-7.65777140502388</v>
      </c>
      <c r="P299" t="n">
        <v>-7.65777140502388</v>
      </c>
      <c r="Q299" t="n">
        <v>5.75140134465257</v>
      </c>
    </row>
    <row r="300">
      <c r="A300" t="inlineStr">
        <is>
          <t>4.3% Italy Treasury Bonds 01.10.2054 Reg-S Senior</t>
        </is>
      </c>
      <c r="B300" t="inlineStr">
        <is>
          <t>IT0005611741</t>
        </is>
      </c>
      <c r="C300" t="inlineStr">
        <is>
          <t>Laruffa, Serena</t>
        </is>
      </c>
      <c r="D300" t="n">
        <v>1596193.001</v>
      </c>
      <c r="E300" t="inlineStr">
        <is>
          <t>EUR</t>
        </is>
      </c>
      <c r="F300" t="inlineStr">
        <is>
          <t>EUR</t>
        </is>
      </c>
      <c r="G300" t="n">
        <v>229000</v>
      </c>
      <c r="H300" t="inlineStr">
        <is>
          <t>2054-09-30T22:00:00Z</t>
        </is>
      </c>
      <c r="I300" t="n">
        <v>0.0502769416</v>
      </c>
      <c r="J300" t="n">
        <v>99.455423580786</v>
      </c>
      <c r="K300" t="n">
        <v>90.11499999999999</v>
      </c>
      <c r="L300" t="n">
        <v>1</v>
      </c>
      <c r="M300" t="n">
        <v>207093.76</v>
      </c>
      <c r="N300" t="n">
        <v>730.41</v>
      </c>
      <c r="O300" t="n">
        <v>-9.391567844662539</v>
      </c>
      <c r="P300" t="n">
        <v>-9.391567844662539</v>
      </c>
      <c r="Q300" t="n">
        <v>6.79972100143779</v>
      </c>
    </row>
    <row r="301">
      <c r="A301" t="inlineStr">
        <is>
          <t>4.3% Italy Treasury Bonds 01.10.2054 Reg-S Senior</t>
        </is>
      </c>
      <c r="B301" t="inlineStr">
        <is>
          <t>IT0005611741</t>
        </is>
      </c>
      <c r="C301" t="inlineStr">
        <is>
          <t>Hera Società Fiduciaria e di revisione S.p.A. - - 05361</t>
        </is>
      </c>
      <c r="D301" t="n">
        <v>1706128.001</v>
      </c>
      <c r="E301" t="inlineStr">
        <is>
          <t>EUR</t>
        </is>
      </c>
      <c r="F301" t="inlineStr">
        <is>
          <t>EUR</t>
        </is>
      </c>
      <c r="G301" t="n">
        <v>67000</v>
      </c>
      <c r="H301" t="inlineStr">
        <is>
          <t>2054-09-30T22:00:00Z</t>
        </is>
      </c>
      <c r="I301" t="n">
        <v>0.0502769416</v>
      </c>
      <c r="J301" t="n">
        <v>97.5931791044776</v>
      </c>
      <c r="K301" t="n">
        <v>90.11499999999999</v>
      </c>
      <c r="L301" t="n">
        <v>1</v>
      </c>
      <c r="M301" t="n">
        <v>60590.75</v>
      </c>
      <c r="N301" t="n">
        <v>213.7</v>
      </c>
      <c r="O301" t="n">
        <v>-7.66260426507051</v>
      </c>
      <c r="P301" t="n">
        <v>-7.66260426507051</v>
      </c>
      <c r="Q301" t="n">
        <v>5.98373493040095</v>
      </c>
    </row>
    <row r="302">
      <c r="A302" t="inlineStr">
        <is>
          <t>4.3% Italy Treasury Bonds 01.10.2054 Reg-S Senior</t>
        </is>
      </c>
      <c r="B302" t="inlineStr">
        <is>
          <t>IT0005611741</t>
        </is>
      </c>
      <c r="C302" t="inlineStr">
        <is>
          <t>Lettieri, Umberto</t>
        </is>
      </c>
      <c r="D302" t="n">
        <v>1710712.001</v>
      </c>
      <c r="E302" t="inlineStr">
        <is>
          <t>EUR</t>
        </is>
      </c>
      <c r="F302" t="inlineStr">
        <is>
          <t>USD</t>
        </is>
      </c>
      <c r="G302" t="n">
        <v>8000</v>
      </c>
      <c r="H302" t="inlineStr">
        <is>
          <t>2054-09-30T22:00:00Z</t>
        </is>
      </c>
      <c r="I302" t="n">
        <v>0.0502769416</v>
      </c>
      <c r="J302" t="n">
        <v>96.605125</v>
      </c>
      <c r="K302" t="n">
        <v>90.11499999999999</v>
      </c>
      <c r="L302" t="n">
        <v>1.1144</v>
      </c>
      <c r="M302" t="n">
        <v>7234.72</v>
      </c>
      <c r="N302" t="n">
        <v>25.52</v>
      </c>
      <c r="O302" t="n">
        <v>-6.71819947440676</v>
      </c>
      <c r="P302" t="n">
        <v>-9.79310546153526</v>
      </c>
      <c r="Q302" t="n">
        <v>0.559590566340891</v>
      </c>
    </row>
    <row r="303">
      <c r="A303" t="inlineStr">
        <is>
          <t>4.3% Italy Treasury Bonds 01.10.2054 Reg-S Senior</t>
        </is>
      </c>
      <c r="B303" t="inlineStr">
        <is>
          <t>IT0005611741</t>
        </is>
      </c>
      <c r="C303" t="inlineStr">
        <is>
          <t>Laruffa, Alessia</t>
        </is>
      </c>
      <c r="D303" t="n">
        <v>1596151.001</v>
      </c>
      <c r="E303" t="inlineStr">
        <is>
          <t>EUR</t>
        </is>
      </c>
      <c r="F303" t="inlineStr">
        <is>
          <t>EUR</t>
        </is>
      </c>
      <c r="G303" t="n">
        <v>190000</v>
      </c>
      <c r="H303" t="inlineStr">
        <is>
          <t>2054-09-30T22:00:00Z</t>
        </is>
      </c>
      <c r="I303" t="n">
        <v>0.0502769416</v>
      </c>
      <c r="J303" t="n">
        <v>99.45291578947359</v>
      </c>
      <c r="K303" t="n">
        <v>90.11499999999999</v>
      </c>
      <c r="L303" t="n">
        <v>1</v>
      </c>
      <c r="M303" t="n">
        <v>171824.52</v>
      </c>
      <c r="N303" t="n">
        <v>606.02</v>
      </c>
      <c r="O303" t="n">
        <v>-9.389283074656751</v>
      </c>
      <c r="P303" t="n">
        <v>-9.389283074656751</v>
      </c>
      <c r="Q303" t="n">
        <v>7.39046226878143</v>
      </c>
    </row>
    <row r="304">
      <c r="A304" t="inlineStr">
        <is>
          <t>4.3% Italy Treasury Bonds 01.10.2054 Reg-S Senior</t>
        </is>
      </c>
      <c r="B304" t="inlineStr">
        <is>
          <t>IT0005611741</t>
        </is>
      </c>
      <c r="C304" t="inlineStr">
        <is>
          <t>Siciliano, Rosanna</t>
        </is>
      </c>
      <c r="D304" t="n">
        <v>1597944.001</v>
      </c>
      <c r="E304" t="inlineStr">
        <is>
          <t>EUR</t>
        </is>
      </c>
      <c r="F304" t="inlineStr">
        <is>
          <t>EUR</t>
        </is>
      </c>
      <c r="G304" t="n">
        <v>129000</v>
      </c>
      <c r="H304" t="inlineStr">
        <is>
          <t>2054-09-30T22:00:00Z</t>
        </is>
      </c>
      <c r="I304" t="n">
        <v>0.0502769416</v>
      </c>
      <c r="J304" t="n">
        <v>98.2658062015503</v>
      </c>
      <c r="K304" t="n">
        <v>90.11499999999999</v>
      </c>
      <c r="L304" t="n">
        <v>1</v>
      </c>
      <c r="M304" t="n">
        <v>116659.8</v>
      </c>
      <c r="N304" t="n">
        <v>411.45</v>
      </c>
      <c r="O304" t="n">
        <v>-8.29465153405701</v>
      </c>
      <c r="P304" t="n">
        <v>-8.29465153405701</v>
      </c>
      <c r="Q304" t="n">
        <v>6.96554315554859</v>
      </c>
    </row>
    <row r="305">
      <c r="A305" t="inlineStr">
        <is>
          <t>4.375% United States Treasury Bonds 15.08.2043 Senior</t>
        </is>
      </c>
      <c r="B305" t="inlineStr">
        <is>
          <t>US912810TU25</t>
        </is>
      </c>
      <c r="C305" t="inlineStr">
        <is>
          <t>Petrassi, Raffaele</t>
        </is>
      </c>
      <c r="D305" t="n">
        <v>1656189.001</v>
      </c>
      <c r="E305" t="inlineStr">
        <is>
          <t>USD</t>
        </is>
      </c>
      <c r="F305" t="inlineStr">
        <is>
          <t>EUR</t>
        </is>
      </c>
      <c r="G305" t="n">
        <v>19900</v>
      </c>
      <c r="H305" t="inlineStr">
        <is>
          <t>2043-08-14T22:00:00Z</t>
        </is>
      </c>
      <c r="I305" t="n">
        <v>0.05317</v>
      </c>
      <c r="J305" t="n">
        <v>98.1223115577889</v>
      </c>
      <c r="K305" t="n">
        <v>89.62</v>
      </c>
      <c r="L305" t="n">
        <v>1.1144</v>
      </c>
      <c r="M305" t="n">
        <v>18009.45</v>
      </c>
      <c r="N305" t="n">
        <v>175.07</v>
      </c>
      <c r="O305" t="n">
        <v>-8.665013515077581</v>
      </c>
      <c r="P305" t="n">
        <v>-4.70310944266325</v>
      </c>
      <c r="Q305" t="n">
        <v>5.13702871504713</v>
      </c>
    </row>
    <row r="306">
      <c r="A306" t="inlineStr">
        <is>
          <t>4.375% United States Treasury Bonds 15.08.2043 Senior</t>
        </is>
      </c>
      <c r="B306" t="inlineStr">
        <is>
          <t>US912810TU25</t>
        </is>
      </c>
      <c r="C306" t="inlineStr">
        <is>
          <t>Laruffa, Sergio</t>
        </is>
      </c>
      <c r="D306" t="n">
        <v>1591822.001</v>
      </c>
      <c r="E306" t="inlineStr">
        <is>
          <t>USD</t>
        </is>
      </c>
      <c r="F306" t="inlineStr">
        <is>
          <t>USD</t>
        </is>
      </c>
      <c r="G306" t="n">
        <v>289500</v>
      </c>
      <c r="H306" t="inlineStr">
        <is>
          <t>2043-08-14T22:00:00Z</t>
        </is>
      </c>
      <c r="I306" t="n">
        <v>0.05317</v>
      </c>
      <c r="J306" t="n">
        <v>98.0948981001727</v>
      </c>
      <c r="K306" t="n">
        <v>89.62</v>
      </c>
      <c r="L306" t="n">
        <v>1</v>
      </c>
      <c r="M306" t="n">
        <v>261996.79</v>
      </c>
      <c r="N306" t="n">
        <v>2546.89</v>
      </c>
      <c r="O306" t="n">
        <v>-8.639489172534031</v>
      </c>
      <c r="P306" t="n">
        <v>-8.639489172534031</v>
      </c>
      <c r="Q306" t="n">
        <v>5.34894349201312</v>
      </c>
    </row>
    <row r="307">
      <c r="A307" t="inlineStr">
        <is>
          <t>4.375% United States Treasury Bonds 15.08.2043 Senior</t>
        </is>
      </c>
      <c r="B307" t="inlineStr">
        <is>
          <t>US912810TU25</t>
        </is>
      </c>
      <c r="C307" t="inlineStr">
        <is>
          <t>Bucchioni, Fabio</t>
        </is>
      </c>
      <c r="D307" t="n">
        <v>1592092.001</v>
      </c>
      <c r="E307" t="inlineStr">
        <is>
          <t>USD</t>
        </is>
      </c>
      <c r="F307" t="inlineStr">
        <is>
          <t>EUR</t>
        </is>
      </c>
      <c r="G307" t="n">
        <v>31300</v>
      </c>
      <c r="H307" t="inlineStr">
        <is>
          <t>2043-08-14T22:00:00Z</t>
        </is>
      </c>
      <c r="I307" t="n">
        <v>0.05317</v>
      </c>
      <c r="J307" t="n">
        <v>98.1048881789137</v>
      </c>
      <c r="K307" t="n">
        <v>89.62</v>
      </c>
      <c r="L307" t="n">
        <v>1.1144</v>
      </c>
      <c r="M307" t="n">
        <v>28326.42</v>
      </c>
      <c r="N307" t="n">
        <v>275.36</v>
      </c>
      <c r="O307" t="n">
        <v>-8.648792467343579</v>
      </c>
      <c r="P307" t="n">
        <v>-4.68861528324999</v>
      </c>
      <c r="Q307" t="n">
        <v>5.15645864880067</v>
      </c>
    </row>
    <row r="308">
      <c r="A308" t="inlineStr">
        <is>
          <t>4.375% United States Treasury Bonds 15.08.2043 Senior</t>
        </is>
      </c>
      <c r="B308" t="inlineStr">
        <is>
          <t>US912810TU25</t>
        </is>
      </c>
      <c r="C308" t="inlineStr">
        <is>
          <t>Alemagna, Alberto Pietro</t>
        </is>
      </c>
      <c r="D308" t="n">
        <v>1627998.001</v>
      </c>
      <c r="E308" t="inlineStr">
        <is>
          <t>USD</t>
        </is>
      </c>
      <c r="F308" t="inlineStr">
        <is>
          <t>EUR</t>
        </is>
      </c>
      <c r="G308" t="n">
        <v>177400</v>
      </c>
      <c r="H308" t="inlineStr">
        <is>
          <t>2043-08-14T22:00:00Z</t>
        </is>
      </c>
      <c r="I308" t="n">
        <v>0.05317</v>
      </c>
      <c r="J308" t="n">
        <v>98.09801014656141</v>
      </c>
      <c r="K308" t="n">
        <v>89.62</v>
      </c>
      <c r="L308" t="n">
        <v>1.1144</v>
      </c>
      <c r="M308" t="n">
        <v>160546.57</v>
      </c>
      <c r="N308" t="n">
        <v>1560.69</v>
      </c>
      <c r="O308" t="n">
        <v>-8.642387479516691</v>
      </c>
      <c r="P308" t="n">
        <v>-4.67902183619695</v>
      </c>
      <c r="Q308" t="n">
        <v>5.09846374767443</v>
      </c>
    </row>
    <row r="309">
      <c r="A309" t="inlineStr">
        <is>
          <t>4.375% United States Treasury Bonds 15.08.2043 Senior</t>
        </is>
      </c>
      <c r="B309" t="inlineStr">
        <is>
          <t>US912810TU25</t>
        </is>
      </c>
      <c r="C309" t="inlineStr">
        <is>
          <t>Simon Fiduciaria S.p.A. - POS. FID. 6297</t>
        </is>
      </c>
      <c r="D309" t="n">
        <v>1660666.001</v>
      </c>
      <c r="E309" t="inlineStr">
        <is>
          <t>USD</t>
        </is>
      </c>
      <c r="F309" t="inlineStr">
        <is>
          <t>EUR</t>
        </is>
      </c>
      <c r="G309" t="n">
        <v>232700</v>
      </c>
      <c r="H309" t="inlineStr">
        <is>
          <t>2043-08-14T22:00:00Z</t>
        </is>
      </c>
      <c r="I309" t="n">
        <v>0.05317</v>
      </c>
      <c r="J309" t="n">
        <v>98.0971422432316</v>
      </c>
      <c r="K309" t="n">
        <v>89.62</v>
      </c>
      <c r="L309" t="n">
        <v>1.1144</v>
      </c>
      <c r="M309" t="n">
        <v>210592.93</v>
      </c>
      <c r="N309" t="n">
        <v>2047.19</v>
      </c>
      <c r="O309" t="n">
        <v>-8.641579203411011</v>
      </c>
      <c r="P309" t="n">
        <v>-4.67783104928512</v>
      </c>
      <c r="Q309" t="n">
        <v>5.01642912023826</v>
      </c>
    </row>
    <row r="310">
      <c r="A310" t="inlineStr">
        <is>
          <t>4.375% United States Treasury Bonds 15.08.2043 Senior</t>
        </is>
      </c>
      <c r="B310" t="inlineStr">
        <is>
          <t>US912810TU25</t>
        </is>
      </c>
      <c r="C310" t="inlineStr">
        <is>
          <t>Marchesi, Riccardo</t>
        </is>
      </c>
      <c r="D310" t="n">
        <v>1592866.001</v>
      </c>
      <c r="E310" t="inlineStr">
        <is>
          <t>USD</t>
        </is>
      </c>
      <c r="F310" t="inlineStr">
        <is>
          <t>EUR</t>
        </is>
      </c>
      <c r="G310" t="n">
        <v>81100</v>
      </c>
      <c r="H310" t="inlineStr">
        <is>
          <t>2043-08-14T22:00:00Z</t>
        </is>
      </c>
      <c r="I310" t="n">
        <v>0.05317</v>
      </c>
      <c r="J310" t="n">
        <v>98.09615289765721</v>
      </c>
      <c r="K310" t="n">
        <v>89.62</v>
      </c>
      <c r="L310" t="n">
        <v>1.1144</v>
      </c>
      <c r="M310" t="n">
        <v>73395.3</v>
      </c>
      <c r="N310" t="n">
        <v>713.48</v>
      </c>
      <c r="O310" t="n">
        <v>-8.64065781101559</v>
      </c>
      <c r="P310" t="n">
        <v>-4.67938943235718</v>
      </c>
      <c r="Q310" t="n">
        <v>5.15298105676086</v>
      </c>
    </row>
    <row r="311">
      <c r="A311" t="inlineStr">
        <is>
          <t>4.375% United States Treasury Bonds 15.08.2043 Senior</t>
        </is>
      </c>
      <c r="B311" t="inlineStr">
        <is>
          <t>US912810TU25</t>
        </is>
      </c>
      <c r="C311" t="inlineStr">
        <is>
          <t>Saira Holding S.r.L.</t>
        </is>
      </c>
      <c r="D311" t="n">
        <v>1690341.001</v>
      </c>
      <c r="E311" t="inlineStr">
        <is>
          <t>USD</t>
        </is>
      </c>
      <c r="F311" t="inlineStr">
        <is>
          <t>EUR</t>
        </is>
      </c>
      <c r="G311" t="n">
        <v>10700</v>
      </c>
      <c r="H311" t="inlineStr">
        <is>
          <t>2043-08-14T22:00:00Z</t>
        </is>
      </c>
      <c r="I311" t="n">
        <v>0.05317</v>
      </c>
      <c r="J311" t="n">
        <v>98.13429906542051</v>
      </c>
      <c r="K311" t="n">
        <v>89.62</v>
      </c>
      <c r="L311" t="n">
        <v>1.1144</v>
      </c>
      <c r="M311" t="n">
        <v>9683.469999999999</v>
      </c>
      <c r="N311" t="n">
        <v>94.13</v>
      </c>
      <c r="O311" t="n">
        <v>-8.67617045875526</v>
      </c>
      <c r="P311" t="n">
        <v>-4.71708873304785</v>
      </c>
      <c r="Q311" t="n">
        <v>5.05870839208636</v>
      </c>
    </row>
    <row r="312">
      <c r="A312" t="inlineStr">
        <is>
          <t>4.375% United States Treasury Bonds 15.08.2043 Senior</t>
        </is>
      </c>
      <c r="B312" t="inlineStr">
        <is>
          <t>US912810TU25</t>
        </is>
      </c>
      <c r="C312" t="inlineStr">
        <is>
          <t>Minardi, Mario Paolo</t>
        </is>
      </c>
      <c r="D312" t="n">
        <v>1650579.001</v>
      </c>
      <c r="E312" t="inlineStr">
        <is>
          <t>USD</t>
        </is>
      </c>
      <c r="F312" t="inlineStr">
        <is>
          <t>EUR</t>
        </is>
      </c>
      <c r="G312" t="n">
        <v>35800</v>
      </c>
      <c r="H312" t="inlineStr">
        <is>
          <t>2043-08-14T22:00:00Z</t>
        </is>
      </c>
      <c r="I312" t="n">
        <v>0.05317</v>
      </c>
      <c r="J312" t="n">
        <v>98.1032122905028</v>
      </c>
      <c r="K312" t="n">
        <v>89.62</v>
      </c>
      <c r="L312" t="n">
        <v>1.1144</v>
      </c>
      <c r="M312" t="n">
        <v>32398.91</v>
      </c>
      <c r="N312" t="n">
        <v>314.95</v>
      </c>
      <c r="O312" t="n">
        <v>-8.647231922826689</v>
      </c>
      <c r="P312" t="n">
        <v>-4.68111819207602</v>
      </c>
      <c r="Q312" t="n">
        <v>5.16340318874555</v>
      </c>
    </row>
    <row r="313">
      <c r="A313" t="inlineStr">
        <is>
          <t>4.375% United States Treasury Bonds 15.08.2043 Senior</t>
        </is>
      </c>
      <c r="B313" t="inlineStr">
        <is>
          <t>US912810TU25</t>
        </is>
      </c>
      <c r="C313" t="inlineStr">
        <is>
          <t>Cariboni, Elisa</t>
        </is>
      </c>
      <c r="D313" t="n">
        <v>1600379.001</v>
      </c>
      <c r="E313" t="inlineStr">
        <is>
          <t>USD</t>
        </is>
      </c>
      <c r="F313" t="inlineStr">
        <is>
          <t>EUR</t>
        </is>
      </c>
      <c r="G313" t="n">
        <v>81600</v>
      </c>
      <c r="H313" t="inlineStr">
        <is>
          <t>2043-08-14T22:00:00Z</t>
        </is>
      </c>
      <c r="I313" t="n">
        <v>0.05317</v>
      </c>
      <c r="J313" t="n">
        <v>98.0966544117647</v>
      </c>
      <c r="K313" t="n">
        <v>89.62</v>
      </c>
      <c r="L313" t="n">
        <v>1.1144</v>
      </c>
      <c r="M313" t="n">
        <v>73847.8</v>
      </c>
      <c r="N313" t="n">
        <v>717.88</v>
      </c>
      <c r="O313" t="n">
        <v>-8.64112488096036</v>
      </c>
      <c r="P313" t="n">
        <v>-4.67779842298746</v>
      </c>
      <c r="Q313" t="n">
        <v>5.15915801575502</v>
      </c>
    </row>
    <row r="314">
      <c r="A314" t="inlineStr">
        <is>
          <t>4.375% United States Treasury Bonds 15.08.2043 Senior</t>
        </is>
      </c>
      <c r="B314" t="inlineStr">
        <is>
          <t>US912810TU25</t>
        </is>
      </c>
      <c r="C314" t="inlineStr">
        <is>
          <t>Hera Società Fiduciaria e di revisione S.p.A. -   05250</t>
        </is>
      </c>
      <c r="D314" t="n">
        <v>1696403.001</v>
      </c>
      <c r="E314" t="inlineStr">
        <is>
          <t>USD</t>
        </is>
      </c>
      <c r="F314" t="inlineStr">
        <is>
          <t>EUR</t>
        </is>
      </c>
      <c r="G314" t="n">
        <v>49600</v>
      </c>
      <c r="H314" t="inlineStr">
        <is>
          <t>2043-08-14T22:00:00Z</t>
        </is>
      </c>
      <c r="I314" t="n">
        <v>0.05317</v>
      </c>
      <c r="J314" t="n">
        <v>98.02235887096769</v>
      </c>
      <c r="K314" t="n">
        <v>89.62</v>
      </c>
      <c r="L314" t="n">
        <v>1.1144</v>
      </c>
      <c r="M314" t="n">
        <v>44887.88</v>
      </c>
      <c r="N314" t="n">
        <v>436.36</v>
      </c>
      <c r="O314" t="n">
        <v>-8.57187989326826</v>
      </c>
      <c r="P314" t="n">
        <v>-4.07285100291701</v>
      </c>
      <c r="Q314" t="n">
        <v>6.15966008707639</v>
      </c>
    </row>
    <row r="315">
      <c r="A315" t="inlineStr">
        <is>
          <t>4.375% United States Treasury Bonds 15.08.2043 Senior</t>
        </is>
      </c>
      <c r="B315" t="inlineStr">
        <is>
          <t>US912810TU25</t>
        </is>
      </c>
      <c r="C315" t="inlineStr">
        <is>
          <t>Lettieri, Riccardo</t>
        </is>
      </c>
      <c r="D315" t="n">
        <v>1660765.001</v>
      </c>
      <c r="E315" t="inlineStr">
        <is>
          <t>USD</t>
        </is>
      </c>
      <c r="F315" t="inlineStr">
        <is>
          <t>EUR</t>
        </is>
      </c>
      <c r="G315" t="n">
        <v>72800</v>
      </c>
      <c r="H315" t="inlineStr">
        <is>
          <t>2043-08-14T22:00:00Z</t>
        </is>
      </c>
      <c r="I315" t="n">
        <v>0.05317</v>
      </c>
      <c r="J315" t="n">
        <v>98.09625</v>
      </c>
      <c r="K315" t="n">
        <v>89.62</v>
      </c>
      <c r="L315" t="n">
        <v>1.1144</v>
      </c>
      <c r="M315" t="n">
        <v>65883.82000000001</v>
      </c>
      <c r="N315" t="n">
        <v>640.46</v>
      </c>
      <c r="O315" t="n">
        <v>-8.640748244708639</v>
      </c>
      <c r="P315" t="n">
        <v>-4.67785705993369</v>
      </c>
      <c r="Q315" t="n">
        <v>7.13920427229969</v>
      </c>
    </row>
    <row r="316">
      <c r="A316" t="inlineStr">
        <is>
          <t>4.375% United States Treasury Bonds 15.08.2043 Senior</t>
        </is>
      </c>
      <c r="B316" t="inlineStr">
        <is>
          <t>US912810TU25</t>
        </is>
      </c>
      <c r="C316" t="inlineStr">
        <is>
          <t>Alemagna, Tancredi Luigi</t>
        </is>
      </c>
      <c r="D316" t="n">
        <v>1619782.001</v>
      </c>
      <c r="E316" t="inlineStr">
        <is>
          <t>USD</t>
        </is>
      </c>
      <c r="F316" t="inlineStr">
        <is>
          <t>EUR</t>
        </is>
      </c>
      <c r="G316" t="n">
        <v>175700</v>
      </c>
      <c r="H316" t="inlineStr">
        <is>
          <t>2043-08-14T22:00:00Z</t>
        </is>
      </c>
      <c r="I316" t="n">
        <v>0.05317</v>
      </c>
      <c r="J316" t="n">
        <v>98.09677859988609</v>
      </c>
      <c r="K316" t="n">
        <v>89.62</v>
      </c>
      <c r="L316" t="n">
        <v>1.1144</v>
      </c>
      <c r="M316" t="n">
        <v>159008.07</v>
      </c>
      <c r="N316" t="n">
        <v>1545.73</v>
      </c>
      <c r="O316" t="n">
        <v>-8.641240539060879</v>
      </c>
      <c r="P316" t="n">
        <v>-4.67961080162705</v>
      </c>
      <c r="Q316" t="n">
        <v>5.45916732200868</v>
      </c>
    </row>
    <row r="317">
      <c r="A317" t="inlineStr">
        <is>
          <t>4.375% United States Treasury Bonds 15.08.2043 Senior</t>
        </is>
      </c>
      <c r="B317" t="inlineStr">
        <is>
          <t>US912810TU25</t>
        </is>
      </c>
      <c r="C317" t="inlineStr">
        <is>
          <t>Terenzi, Federico</t>
        </is>
      </c>
      <c r="D317" t="n">
        <v>1620379.001</v>
      </c>
      <c r="E317" t="inlineStr">
        <is>
          <t>USD</t>
        </is>
      </c>
      <c r="F317" t="inlineStr">
        <is>
          <t>EUR</t>
        </is>
      </c>
      <c r="G317" t="n">
        <v>10700</v>
      </c>
      <c r="H317" t="inlineStr">
        <is>
          <t>2043-08-14T22:00:00Z</t>
        </is>
      </c>
      <c r="I317" t="n">
        <v>0.05317</v>
      </c>
      <c r="J317" t="n">
        <v>98.1396261682243</v>
      </c>
      <c r="K317" t="n">
        <v>89.62</v>
      </c>
      <c r="L317" t="n">
        <v>1.1144</v>
      </c>
      <c r="M317" t="n">
        <v>9683.469999999999</v>
      </c>
      <c r="N317" t="n">
        <v>94.13</v>
      </c>
      <c r="O317" t="n">
        <v>-8.681127594291549</v>
      </c>
      <c r="P317" t="n">
        <v>-4.73945192406691</v>
      </c>
      <c r="Q317" t="n">
        <v>7.11900067469942</v>
      </c>
    </row>
    <row r="318">
      <c r="A318" t="inlineStr">
        <is>
          <t>4.375% United States Treasury Bonds 15.08.2043 Senior</t>
        </is>
      </c>
      <c r="B318" t="inlineStr">
        <is>
          <t>US912810TU25</t>
        </is>
      </c>
      <c r="C318" t="inlineStr">
        <is>
          <t>Simon Fiduciaria S.p.A. - POS. FID. 6297</t>
        </is>
      </c>
      <c r="D318" t="n">
        <v>1660666.003</v>
      </c>
      <c r="E318" t="inlineStr">
        <is>
          <t>USD</t>
        </is>
      </c>
      <c r="F318" t="inlineStr">
        <is>
          <t>EUR</t>
        </is>
      </c>
      <c r="G318" t="n">
        <v>170700</v>
      </c>
      <c r="H318" t="inlineStr">
        <is>
          <t>2043-08-14T22:00:00Z</t>
        </is>
      </c>
      <c r="I318" t="n">
        <v>0.05317</v>
      </c>
      <c r="J318" t="n">
        <v>98.0956707674282</v>
      </c>
      <c r="K318" t="n">
        <v>89.62</v>
      </c>
      <c r="L318" t="n">
        <v>1.1144</v>
      </c>
      <c r="M318" t="n">
        <v>154483.08</v>
      </c>
      <c r="N318" t="n">
        <v>1501.74</v>
      </c>
      <c r="O318" t="n">
        <v>-8.64020878915535</v>
      </c>
      <c r="P318" t="n">
        <v>-4.67748412528723</v>
      </c>
      <c r="Q318" t="n">
        <v>5.18570967644995</v>
      </c>
    </row>
    <row r="319">
      <c r="A319" t="inlineStr">
        <is>
          <t>4.375% United States Treasury Bonds 15.08.2043 Senior</t>
        </is>
      </c>
      <c r="B319" t="inlineStr">
        <is>
          <t>US912810TU25</t>
        </is>
      </c>
      <c r="C319" t="inlineStr">
        <is>
          <t>Fariniundici S.p.A.</t>
        </is>
      </c>
      <c r="D319" t="n">
        <v>1644446.001</v>
      </c>
      <c r="E319" t="inlineStr">
        <is>
          <t>USD</t>
        </is>
      </c>
      <c r="F319" t="inlineStr">
        <is>
          <t>EUR</t>
        </is>
      </c>
      <c r="G319" t="n">
        <v>684900</v>
      </c>
      <c r="H319" t="inlineStr">
        <is>
          <t>2043-08-14T22:00:00Z</t>
        </is>
      </c>
      <c r="I319" t="n">
        <v>0.05317</v>
      </c>
      <c r="J319" t="n">
        <v>98.0984902905533</v>
      </c>
      <c r="K319" t="n">
        <v>89.62</v>
      </c>
      <c r="L319" t="n">
        <v>1.1144</v>
      </c>
      <c r="M319" t="n">
        <v>619832.8199999999</v>
      </c>
      <c r="N319" t="n">
        <v>6025.44</v>
      </c>
      <c r="O319" t="n">
        <v>-8.642834630218379</v>
      </c>
      <c r="P319" t="n">
        <v>-4.69115409203106</v>
      </c>
      <c r="Q319" t="n">
        <v>5.10767605644189</v>
      </c>
    </row>
    <row r="320">
      <c r="A320" t="inlineStr">
        <is>
          <t>4.375% United States Treasury Bonds 15.08.2043 Senior</t>
        </is>
      </c>
      <c r="B320" t="inlineStr">
        <is>
          <t>US912810TU25</t>
        </is>
      </c>
      <c r="C320" t="inlineStr">
        <is>
          <t>Bertini, Marco</t>
        </is>
      </c>
      <c r="D320" t="n">
        <v>112029.001</v>
      </c>
      <c r="E320" t="inlineStr">
        <is>
          <t>USD</t>
        </is>
      </c>
      <c r="F320" t="inlineStr">
        <is>
          <t>USD</t>
        </is>
      </c>
      <c r="G320" t="n">
        <v>129000</v>
      </c>
      <c r="H320" t="inlineStr">
        <is>
          <t>2043-08-14T22:00:00Z</t>
        </is>
      </c>
      <c r="I320" t="n">
        <v>0.05317</v>
      </c>
      <c r="J320" t="n">
        <v>96.9556511627907</v>
      </c>
      <c r="K320" t="n">
        <v>89.62</v>
      </c>
      <c r="L320" t="n">
        <v>1</v>
      </c>
      <c r="M320" t="n">
        <v>116744.68</v>
      </c>
      <c r="N320" t="n">
        <v>1134.88</v>
      </c>
      <c r="O320" t="n">
        <v>-7.56598617493061</v>
      </c>
      <c r="P320" t="n">
        <v>-7.56598617493061</v>
      </c>
      <c r="Q320" t="n">
        <v>7.55282412574729</v>
      </c>
    </row>
    <row r="321">
      <c r="A321" t="inlineStr">
        <is>
          <t>4.375% United States Treasury Bonds 15.08.2043 Senior</t>
        </is>
      </c>
      <c r="B321" t="inlineStr">
        <is>
          <t>US912810TU25</t>
        </is>
      </c>
      <c r="C321" t="inlineStr">
        <is>
          <t>Ancona, Giselda</t>
        </is>
      </c>
      <c r="D321" t="n">
        <v>1648638.001</v>
      </c>
      <c r="E321" t="inlineStr">
        <is>
          <t>USD</t>
        </is>
      </c>
      <c r="F321" t="inlineStr">
        <is>
          <t>EUR</t>
        </is>
      </c>
      <c r="G321" t="n">
        <v>63000</v>
      </c>
      <c r="H321" t="inlineStr">
        <is>
          <t>2043-08-14T22:00:00Z</t>
        </is>
      </c>
      <c r="I321" t="n">
        <v>0.05317</v>
      </c>
      <c r="J321" t="n">
        <v>98.0926031746031</v>
      </c>
      <c r="K321" t="n">
        <v>89.62</v>
      </c>
      <c r="L321" t="n">
        <v>1.1144</v>
      </c>
      <c r="M321" t="n">
        <v>57014.85</v>
      </c>
      <c r="N321" t="n">
        <v>554.25</v>
      </c>
      <c r="O321" t="n">
        <v>-8.63735174763594</v>
      </c>
      <c r="P321" t="n">
        <v>-4.67437010365997</v>
      </c>
      <c r="Q321" t="n">
        <v>5.27331024856753</v>
      </c>
    </row>
    <row r="322">
      <c r="A322" t="inlineStr">
        <is>
          <t>4.375% United States Treasury Bonds 15.08.2043 Senior</t>
        </is>
      </c>
      <c r="B322" t="inlineStr">
        <is>
          <t>US912810TU25</t>
        </is>
      </c>
      <c r="C322" t="inlineStr">
        <is>
          <t>Virlinzi, Francesco</t>
        </is>
      </c>
      <c r="D322" t="n">
        <v>1648903.001</v>
      </c>
      <c r="E322" t="inlineStr">
        <is>
          <t>USD</t>
        </is>
      </c>
      <c r="F322" t="inlineStr">
        <is>
          <t>EUR</t>
        </is>
      </c>
      <c r="G322" t="n">
        <v>588400</v>
      </c>
      <c r="H322" t="inlineStr">
        <is>
          <t>2043-08-14T22:00:00Z</t>
        </is>
      </c>
      <c r="I322" t="n">
        <v>0.05317</v>
      </c>
      <c r="J322" t="n">
        <v>98.0939276002719</v>
      </c>
      <c r="K322" t="n">
        <v>89.62</v>
      </c>
      <c r="L322" t="n">
        <v>1.1144</v>
      </c>
      <c r="M322" t="n">
        <v>532500.5600000001</v>
      </c>
      <c r="N322" t="n">
        <v>5176.48</v>
      </c>
      <c r="O322" t="n">
        <v>-8.638585290215691</v>
      </c>
      <c r="P322" t="n">
        <v>-4.67511029135128</v>
      </c>
      <c r="Q322" t="n">
        <v>5.15569093343023</v>
      </c>
    </row>
    <row r="323">
      <c r="A323" t="inlineStr">
        <is>
          <t>4.375% United States Treasury Bonds 15.08.2043 Senior</t>
        </is>
      </c>
      <c r="B323" t="inlineStr">
        <is>
          <t>US912810TU25</t>
        </is>
      </c>
      <c r="C323" t="inlineStr">
        <is>
          <t>Malerba, Maria Clara</t>
        </is>
      </c>
      <c r="D323" t="n">
        <v>1632673.001</v>
      </c>
      <c r="E323" t="inlineStr">
        <is>
          <t>USD</t>
        </is>
      </c>
      <c r="F323" t="inlineStr">
        <is>
          <t>EUR</t>
        </is>
      </c>
      <c r="G323" t="n">
        <v>360100</v>
      </c>
      <c r="H323" t="inlineStr">
        <is>
          <t>2043-08-14T22:00:00Z</t>
        </is>
      </c>
      <c r="I323" t="n">
        <v>0.05317</v>
      </c>
      <c r="J323" t="n">
        <v>98.09412107747841</v>
      </c>
      <c r="K323" t="n">
        <v>89.62</v>
      </c>
      <c r="L323" t="n">
        <v>1.1144</v>
      </c>
      <c r="M323" t="n">
        <v>325889.62</v>
      </c>
      <c r="N323" t="n">
        <v>3168</v>
      </c>
      <c r="O323" t="n">
        <v>-8.638765488081891</v>
      </c>
      <c r="P323" t="n">
        <v>-4.67543432262077</v>
      </c>
      <c r="Q323" t="n">
        <v>5.55903991108438</v>
      </c>
    </row>
    <row r="324">
      <c r="A324" t="inlineStr">
        <is>
          <t>4.375% United States Treasury Bonds 15.08.2043 Senior</t>
        </is>
      </c>
      <c r="B324" t="inlineStr">
        <is>
          <t>US912810TU25</t>
        </is>
      </c>
      <c r="C324" t="inlineStr">
        <is>
          <t>Galli, Federico</t>
        </is>
      </c>
      <c r="D324" t="n">
        <v>1621661.001</v>
      </c>
      <c r="E324" t="inlineStr">
        <is>
          <t>USD</t>
        </is>
      </c>
      <c r="F324" t="inlineStr">
        <is>
          <t>EUR</t>
        </is>
      </c>
      <c r="G324" t="n">
        <v>33700</v>
      </c>
      <c r="H324" t="inlineStr">
        <is>
          <t>2043-08-14T22:00:00Z</t>
        </is>
      </c>
      <c r="I324" t="n">
        <v>0.05317</v>
      </c>
      <c r="J324" t="n">
        <v>98.09308605341241</v>
      </c>
      <c r="K324" t="n">
        <v>89.62</v>
      </c>
      <c r="L324" t="n">
        <v>1.1144</v>
      </c>
      <c r="M324" t="n">
        <v>30498.42</v>
      </c>
      <c r="N324" t="n">
        <v>296.48</v>
      </c>
      <c r="O324" t="n">
        <v>-8.63780149479526</v>
      </c>
      <c r="P324" t="n">
        <v>-4.67456224893947</v>
      </c>
      <c r="Q324" t="n">
        <v>4.97549657279276</v>
      </c>
    </row>
    <row r="325">
      <c r="A325" t="inlineStr">
        <is>
          <t>4.375% United States Treasury Bonds 15.08.2043 Senior</t>
        </is>
      </c>
      <c r="B325" t="inlineStr">
        <is>
          <t>US912810TU25</t>
        </is>
      </c>
      <c r="C325" t="inlineStr">
        <is>
          <t>BISVALLES ASSETS INC.</t>
        </is>
      </c>
      <c r="D325" t="n">
        <v>1649314.001</v>
      </c>
      <c r="E325" t="inlineStr">
        <is>
          <t>USD</t>
        </is>
      </c>
      <c r="F325" t="inlineStr">
        <is>
          <t>EUR</t>
        </is>
      </c>
      <c r="G325" t="n">
        <v>1250100</v>
      </c>
      <c r="H325" t="inlineStr">
        <is>
          <t>2043-08-14T22:00:00Z</t>
        </is>
      </c>
      <c r="I325" t="n">
        <v>0.05317</v>
      </c>
      <c r="J325" t="n">
        <v>96.76015678745701</v>
      </c>
      <c r="K325" t="n">
        <v>89.62</v>
      </c>
      <c r="L325" t="n">
        <v>1.1144</v>
      </c>
      <c r="M325" t="n">
        <v>1131337.44</v>
      </c>
      <c r="N325" t="n">
        <v>10997.82</v>
      </c>
      <c r="O325" t="n">
        <v>-7.37923234574851</v>
      </c>
      <c r="P325" t="n">
        <v>-6.54298888096763</v>
      </c>
      <c r="Q325" t="n">
        <v>10.4808189590449</v>
      </c>
    </row>
    <row r="326">
      <c r="A326" t="inlineStr">
        <is>
          <t>4.375% United States Treasury Bonds 15.08.2043 Senior</t>
        </is>
      </c>
      <c r="B326" t="inlineStr">
        <is>
          <t>US912810TU25</t>
        </is>
      </c>
      <c r="C326" t="inlineStr">
        <is>
          <t>Laruffa, Serena</t>
        </is>
      </c>
      <c r="D326" t="n">
        <v>1596193.001</v>
      </c>
      <c r="E326" t="inlineStr">
        <is>
          <t>USD</t>
        </is>
      </c>
      <c r="F326" t="inlineStr">
        <is>
          <t>EUR</t>
        </is>
      </c>
      <c r="G326" t="n">
        <v>214500</v>
      </c>
      <c r="H326" t="inlineStr">
        <is>
          <t>2043-08-14T22:00:00Z</t>
        </is>
      </c>
      <c r="I326" t="n">
        <v>0.05317</v>
      </c>
      <c r="J326" t="n">
        <v>98.0963682983683</v>
      </c>
      <c r="K326" t="n">
        <v>89.62</v>
      </c>
      <c r="L326" t="n">
        <v>1.1144</v>
      </c>
      <c r="M326" t="n">
        <v>194121.98</v>
      </c>
      <c r="N326" t="n">
        <v>1887.08</v>
      </c>
      <c r="O326" t="n">
        <v>-8.640858418516279</v>
      </c>
      <c r="P326" t="n">
        <v>-4.67725598580133</v>
      </c>
      <c r="Q326" t="n">
        <v>5.71926761101099</v>
      </c>
    </row>
    <row r="327">
      <c r="A327" t="inlineStr">
        <is>
          <t>4.375% United States Treasury Bonds 15.08.2043 Senior</t>
        </is>
      </c>
      <c r="B327" t="inlineStr">
        <is>
          <t>US912810TU25</t>
        </is>
      </c>
      <c r="C327" t="inlineStr">
        <is>
          <t>Hera Società Fiduciaria e di revisione S.p.A. - - 05361</t>
        </is>
      </c>
      <c r="D327" t="n">
        <v>1706128.001</v>
      </c>
      <c r="E327" t="inlineStr">
        <is>
          <t>USD</t>
        </is>
      </c>
      <c r="F327" t="inlineStr">
        <is>
          <t>EUR</t>
        </is>
      </c>
      <c r="G327" t="n">
        <v>66100</v>
      </c>
      <c r="H327" t="inlineStr">
        <is>
          <t>2043-08-14T22:00:00Z</t>
        </is>
      </c>
      <c r="I327" t="n">
        <v>0.05317</v>
      </c>
      <c r="J327" t="n">
        <v>98.10287443267769</v>
      </c>
      <c r="K327" t="n">
        <v>89.62</v>
      </c>
      <c r="L327" t="n">
        <v>1.1144</v>
      </c>
      <c r="M327" t="n">
        <v>59820.34</v>
      </c>
      <c r="N327" t="n">
        <v>581.52</v>
      </c>
      <c r="O327" t="n">
        <v>-8.64691731178484</v>
      </c>
      <c r="P327" t="n">
        <v>-4.68863831767238</v>
      </c>
      <c r="Q327" t="n">
        <v>5.3009843136933</v>
      </c>
    </row>
    <row r="328">
      <c r="A328" t="inlineStr">
        <is>
          <t>4.375% United States Treasury Bonds 15.08.2043 Senior</t>
        </is>
      </c>
      <c r="B328" t="inlineStr">
        <is>
          <t>US912810TU25</t>
        </is>
      </c>
      <c r="C328" t="inlineStr">
        <is>
          <t>Lettieri, Umberto</t>
        </is>
      </c>
      <c r="D328" t="n">
        <v>1710712.001</v>
      </c>
      <c r="E328" t="inlineStr">
        <is>
          <t>USD</t>
        </is>
      </c>
      <c r="F328" t="inlineStr">
        <is>
          <t>USD</t>
        </is>
      </c>
      <c r="G328" t="n">
        <v>73800</v>
      </c>
      <c r="H328" t="inlineStr">
        <is>
          <t>2043-08-14T22:00:00Z</t>
        </is>
      </c>
      <c r="I328" t="n">
        <v>0.05317</v>
      </c>
      <c r="J328" t="n">
        <v>93.7096341463414</v>
      </c>
      <c r="K328" t="n">
        <v>89.62</v>
      </c>
      <c r="L328" t="n">
        <v>1</v>
      </c>
      <c r="M328" t="n">
        <v>66788.82000000001</v>
      </c>
      <c r="N328" t="n">
        <v>649.26</v>
      </c>
      <c r="O328" t="n">
        <v>-4.36415549329207</v>
      </c>
      <c r="P328" t="n">
        <v>-4.36415549329207</v>
      </c>
      <c r="Q328" t="n">
        <v>4.63547446435865</v>
      </c>
    </row>
    <row r="329">
      <c r="A329" t="inlineStr">
        <is>
          <t>4.375% United States Treasury Bonds 15.08.2043 Senior</t>
        </is>
      </c>
      <c r="B329" t="inlineStr">
        <is>
          <t>US912810TU25</t>
        </is>
      </c>
      <c r="C329" t="inlineStr">
        <is>
          <t>Laruffa, Alessia</t>
        </is>
      </c>
      <c r="D329" t="n">
        <v>1596151.001</v>
      </c>
      <c r="E329" t="inlineStr">
        <is>
          <t>USD</t>
        </is>
      </c>
      <c r="F329" t="inlineStr">
        <is>
          <t>EUR</t>
        </is>
      </c>
      <c r="G329" t="n">
        <v>174300</v>
      </c>
      <c r="H329" t="inlineStr">
        <is>
          <t>2043-08-14T22:00:00Z</t>
        </is>
      </c>
      <c r="I329" t="n">
        <v>0.05317</v>
      </c>
      <c r="J329" t="n">
        <v>98.09520367183011</v>
      </c>
      <c r="K329" t="n">
        <v>89.62</v>
      </c>
      <c r="L329" t="n">
        <v>1.1144</v>
      </c>
      <c r="M329" t="n">
        <v>157741.07</v>
      </c>
      <c r="N329" t="n">
        <v>1533.41</v>
      </c>
      <c r="O329" t="n">
        <v>-8.639773765273279</v>
      </c>
      <c r="P329" t="n">
        <v>-4.67784202570996</v>
      </c>
      <c r="Q329" t="n">
        <v>6.08797508708102</v>
      </c>
    </row>
    <row r="330">
      <c r="A330" t="inlineStr">
        <is>
          <t>4.375% United States Treasury Bonds 15.08.2043 Senior</t>
        </is>
      </c>
      <c r="B330" t="inlineStr">
        <is>
          <t>US912810TU25</t>
        </is>
      </c>
      <c r="C330" t="inlineStr">
        <is>
          <t>Siciliano, Rosanna</t>
        </is>
      </c>
      <c r="D330" t="n">
        <v>1597944.001</v>
      </c>
      <c r="E330" t="inlineStr">
        <is>
          <t>USD</t>
        </is>
      </c>
      <c r="F330" t="inlineStr">
        <is>
          <t>EUR</t>
        </is>
      </c>
      <c r="G330" t="n">
        <v>125300</v>
      </c>
      <c r="H330" t="inlineStr">
        <is>
          <t>2043-08-14T22:00:00Z</t>
        </is>
      </c>
      <c r="I330" t="n">
        <v>0.05317</v>
      </c>
      <c r="J330" t="n">
        <v>98.0973423782921</v>
      </c>
      <c r="K330" t="n">
        <v>89.62</v>
      </c>
      <c r="L330" t="n">
        <v>1.1144</v>
      </c>
      <c r="M330" t="n">
        <v>113396.19</v>
      </c>
      <c r="N330" t="n">
        <v>1102.33</v>
      </c>
      <c r="O330" t="n">
        <v>-8.641765589939199</v>
      </c>
      <c r="P330" t="n">
        <v>-4.67710547509091</v>
      </c>
      <c r="Q330" t="n">
        <v>6.07538569626783</v>
      </c>
    </row>
    <row r="331">
      <c r="A331" t="inlineStr">
        <is>
          <t>4.5% Italy Treasury Bonds 01.10.2053 Reg-S Senior</t>
        </is>
      </c>
      <c r="B331" t="inlineStr">
        <is>
          <t>IT0005534141</t>
        </is>
      </c>
      <c r="C331" t="inlineStr">
        <is>
          <t>Petrassi, Raffaele</t>
        </is>
      </c>
      <c r="D331" t="n">
        <v>1656189.001</v>
      </c>
      <c r="E331" t="inlineStr">
        <is>
          <t>EUR</t>
        </is>
      </c>
      <c r="F331" t="inlineStr">
        <is>
          <t>EUR</t>
        </is>
      </c>
      <c r="G331" t="n">
        <v>10000</v>
      </c>
      <c r="H331" t="inlineStr">
        <is>
          <t>2053-09-30T22:00:00Z</t>
        </is>
      </c>
      <c r="I331" t="n">
        <v>0.0498938798</v>
      </c>
      <c r="J331" t="n">
        <v>99.5425</v>
      </c>
      <c r="K331" t="n">
        <v>93.13</v>
      </c>
      <c r="L331" t="n">
        <v>1</v>
      </c>
      <c r="M331" t="n">
        <v>9346.379999999999</v>
      </c>
      <c r="N331" t="n">
        <v>33.38</v>
      </c>
      <c r="O331" t="n">
        <v>-6.44197202200065</v>
      </c>
      <c r="P331" t="n">
        <v>-6.44197202200065</v>
      </c>
      <c r="Q331" t="n">
        <v>2.97107260578985</v>
      </c>
    </row>
    <row r="332">
      <c r="A332" t="inlineStr">
        <is>
          <t>4.5% Italy Treasury Bonds 01.10.2053 Reg-S Senior</t>
        </is>
      </c>
      <c r="B332" t="inlineStr">
        <is>
          <t>IT0005534141</t>
        </is>
      </c>
      <c r="C332" t="inlineStr">
        <is>
          <t>Bucchioni, Fabio</t>
        </is>
      </c>
      <c r="D332" t="n">
        <v>1592092.001</v>
      </c>
      <c r="E332" t="inlineStr">
        <is>
          <t>EUR</t>
        </is>
      </c>
      <c r="F332" t="inlineStr">
        <is>
          <t>EUR</t>
        </is>
      </c>
      <c r="G332" t="n">
        <v>15000</v>
      </c>
      <c r="H332" t="inlineStr">
        <is>
          <t>2053-09-30T22:00:00Z</t>
        </is>
      </c>
      <c r="I332" t="n">
        <v>0.0498938798</v>
      </c>
      <c r="J332" t="n">
        <v>99.5314666666666</v>
      </c>
      <c r="K332" t="n">
        <v>93.13</v>
      </c>
      <c r="L332" t="n">
        <v>1</v>
      </c>
      <c r="M332" t="n">
        <v>14019.57</v>
      </c>
      <c r="N332" t="n">
        <v>50.07</v>
      </c>
      <c r="O332" t="n">
        <v>-6.43160086056536</v>
      </c>
      <c r="P332" t="n">
        <v>-6.43160086056536</v>
      </c>
      <c r="Q332" t="n">
        <v>2.84415255844948</v>
      </c>
    </row>
    <row r="333">
      <c r="A333" t="inlineStr">
        <is>
          <t>4.5% Italy Treasury Bonds 01.10.2053 Reg-S Senior</t>
        </is>
      </c>
      <c r="B333" t="inlineStr">
        <is>
          <t>IT0005534141</t>
        </is>
      </c>
      <c r="C333" t="inlineStr">
        <is>
          <t>Alemagna, Alberto Pietro</t>
        </is>
      </c>
      <c r="D333" t="n">
        <v>1627998.001</v>
      </c>
      <c r="E333" t="inlineStr">
        <is>
          <t>EUR</t>
        </is>
      </c>
      <c r="F333" t="inlineStr">
        <is>
          <t>EUR</t>
        </is>
      </c>
      <c r="G333" t="n">
        <v>89000</v>
      </c>
      <c r="H333" t="inlineStr">
        <is>
          <t>2053-09-30T22:00:00Z</t>
        </is>
      </c>
      <c r="I333" t="n">
        <v>0.0498938798</v>
      </c>
      <c r="J333" t="n">
        <v>99.3737640449438</v>
      </c>
      <c r="K333" t="n">
        <v>93.13</v>
      </c>
      <c r="L333" t="n">
        <v>1</v>
      </c>
      <c r="M333" t="n">
        <v>83182.77</v>
      </c>
      <c r="N333" t="n">
        <v>297.07</v>
      </c>
      <c r="O333" t="n">
        <v>-6.28311114603644</v>
      </c>
      <c r="P333" t="n">
        <v>-6.28311114603644</v>
      </c>
      <c r="Q333" t="n">
        <v>2.94394747510071</v>
      </c>
    </row>
    <row r="334">
      <c r="A334" t="inlineStr">
        <is>
          <t>4.5% Italy Treasury Bonds 01.10.2053 Reg-S Senior</t>
        </is>
      </c>
      <c r="B334" t="inlineStr">
        <is>
          <t>IT0005534141</t>
        </is>
      </c>
      <c r="C334" t="inlineStr">
        <is>
          <t>Simon Fiduciaria S.p.A. - POS. FID. 6297</t>
        </is>
      </c>
      <c r="D334" t="n">
        <v>1660666.001</v>
      </c>
      <c r="E334" t="inlineStr">
        <is>
          <t>EUR</t>
        </is>
      </c>
      <c r="F334" t="inlineStr">
        <is>
          <t>EUR</t>
        </is>
      </c>
      <c r="G334" t="n">
        <v>115000</v>
      </c>
      <c r="H334" t="inlineStr">
        <is>
          <t>2053-09-30T22:00:00Z</t>
        </is>
      </c>
      <c r="I334" t="n">
        <v>0.0498938798</v>
      </c>
      <c r="J334" t="n">
        <v>99.4139217391304</v>
      </c>
      <c r="K334" t="n">
        <v>93.13</v>
      </c>
      <c r="L334" t="n">
        <v>1</v>
      </c>
      <c r="M334" t="n">
        <v>107483.36</v>
      </c>
      <c r="N334" t="n">
        <v>383.86</v>
      </c>
      <c r="O334" t="n">
        <v>-6.3209675558519</v>
      </c>
      <c r="P334" t="n">
        <v>-6.3209675558519</v>
      </c>
      <c r="Q334" t="n">
        <v>2.85332011325723</v>
      </c>
    </row>
    <row r="335">
      <c r="A335" t="inlineStr">
        <is>
          <t>4.5% Italy Treasury Bonds 01.10.2053 Reg-S Senior</t>
        </is>
      </c>
      <c r="B335" t="inlineStr">
        <is>
          <t>IT0005534141</t>
        </is>
      </c>
      <c r="C335" t="inlineStr">
        <is>
          <t>Marchesi, Riccardo</t>
        </is>
      </c>
      <c r="D335" t="n">
        <v>1592866.001</v>
      </c>
      <c r="E335" t="inlineStr">
        <is>
          <t>EUR</t>
        </is>
      </c>
      <c r="F335" t="inlineStr">
        <is>
          <t>EUR</t>
        </is>
      </c>
      <c r="G335" t="n">
        <v>41000</v>
      </c>
      <c r="H335" t="inlineStr">
        <is>
          <t>2053-09-30T22:00:00Z</t>
        </is>
      </c>
      <c r="I335" t="n">
        <v>0.0498938798</v>
      </c>
      <c r="J335" t="n">
        <v>99.34836585365851</v>
      </c>
      <c r="K335" t="n">
        <v>93.13</v>
      </c>
      <c r="L335" t="n">
        <v>1</v>
      </c>
      <c r="M335" t="n">
        <v>38320.15</v>
      </c>
      <c r="N335" t="n">
        <v>136.85</v>
      </c>
      <c r="O335" t="n">
        <v>-6.25915262946375</v>
      </c>
      <c r="P335" t="n">
        <v>-6.25915262946375</v>
      </c>
      <c r="Q335" t="n">
        <v>2.99830555712477</v>
      </c>
    </row>
    <row r="336">
      <c r="A336" t="inlineStr">
        <is>
          <t>4.5% Italy Treasury Bonds 01.10.2053 Reg-S Senior</t>
        </is>
      </c>
      <c r="B336" t="inlineStr">
        <is>
          <t>IT0005534141</t>
        </is>
      </c>
      <c r="C336" t="inlineStr">
        <is>
          <t>Saira Holding S.r.L.</t>
        </is>
      </c>
      <c r="D336" t="n">
        <v>1690341.001</v>
      </c>
      <c r="E336" t="inlineStr">
        <is>
          <t>EUR</t>
        </is>
      </c>
      <c r="F336" t="inlineStr">
        <is>
          <t>EUR</t>
        </is>
      </c>
      <c r="G336" t="n">
        <v>5000</v>
      </c>
      <c r="H336" t="inlineStr">
        <is>
          <t>2053-09-30T22:00:00Z</t>
        </is>
      </c>
      <c r="I336" t="n">
        <v>0.0498938798</v>
      </c>
      <c r="J336" t="n">
        <v>99.53700000000001</v>
      </c>
      <c r="K336" t="n">
        <v>93.13</v>
      </c>
      <c r="L336" t="n">
        <v>1</v>
      </c>
      <c r="M336" t="n">
        <v>4673.19</v>
      </c>
      <c r="N336" t="n">
        <v>16.69</v>
      </c>
      <c r="O336" t="n">
        <v>-6.43680239508926</v>
      </c>
      <c r="P336" t="n">
        <v>-6.43680239508926</v>
      </c>
      <c r="Q336" t="n">
        <v>2.72070082124214</v>
      </c>
    </row>
    <row r="337">
      <c r="A337" t="inlineStr">
        <is>
          <t>4.5% Italy Treasury Bonds 01.10.2053 Reg-S Senior</t>
        </is>
      </c>
      <c r="B337" t="inlineStr">
        <is>
          <t>IT0005534141</t>
        </is>
      </c>
      <c r="C337" t="inlineStr">
        <is>
          <t>Minardi, Mario Paolo</t>
        </is>
      </c>
      <c r="D337" t="n">
        <v>1650579.001</v>
      </c>
      <c r="E337" t="inlineStr">
        <is>
          <t>EUR</t>
        </is>
      </c>
      <c r="F337" t="inlineStr">
        <is>
          <t>EUR</t>
        </is>
      </c>
      <c r="G337" t="n">
        <v>17000</v>
      </c>
      <c r="H337" t="inlineStr">
        <is>
          <t>2053-09-30T22:00:00Z</t>
        </is>
      </c>
      <c r="I337" t="n">
        <v>0.0498938798</v>
      </c>
      <c r="J337" t="n">
        <v>99.5424705882352</v>
      </c>
      <c r="K337" t="n">
        <v>93.13</v>
      </c>
      <c r="L337" t="n">
        <v>1</v>
      </c>
      <c r="M337" t="n">
        <v>15888.84</v>
      </c>
      <c r="N337" t="n">
        <v>56.74</v>
      </c>
      <c r="O337" t="n">
        <v>-6.44194437845625</v>
      </c>
      <c r="P337" t="n">
        <v>-6.44194437845625</v>
      </c>
      <c r="Q337" t="n">
        <v>2.82199447235889</v>
      </c>
    </row>
    <row r="338">
      <c r="A338" t="inlineStr">
        <is>
          <t>4.5% Italy Treasury Bonds 01.10.2053 Reg-S Senior</t>
        </is>
      </c>
      <c r="B338" t="inlineStr">
        <is>
          <t>IT0005534141</t>
        </is>
      </c>
      <c r="C338" t="inlineStr">
        <is>
          <t>Cariboni, Elisa</t>
        </is>
      </c>
      <c r="D338" t="n">
        <v>1600379.001</v>
      </c>
      <c r="E338" t="inlineStr">
        <is>
          <t>EUR</t>
        </is>
      </c>
      <c r="F338" t="inlineStr">
        <is>
          <t>EUR</t>
        </is>
      </c>
      <c r="G338" t="n">
        <v>41000</v>
      </c>
      <c r="H338" t="inlineStr">
        <is>
          <t>2053-09-30T22:00:00Z</t>
        </is>
      </c>
      <c r="I338" t="n">
        <v>0.0498938798</v>
      </c>
      <c r="J338" t="n">
        <v>99.3483902439024</v>
      </c>
      <c r="K338" t="n">
        <v>93.13</v>
      </c>
      <c r="L338" t="n">
        <v>1</v>
      </c>
      <c r="M338" t="n">
        <v>38320.15</v>
      </c>
      <c r="N338" t="n">
        <v>136.85</v>
      </c>
      <c r="O338" t="n">
        <v>-6.25917564304379</v>
      </c>
      <c r="P338" t="n">
        <v>-6.25917564304379</v>
      </c>
      <c r="Q338" t="n">
        <v>2.98350526675375</v>
      </c>
    </row>
    <row r="339">
      <c r="A339" t="inlineStr">
        <is>
          <t>4.5% Italy Treasury Bonds 01.10.2053 Reg-S Senior</t>
        </is>
      </c>
      <c r="B339" t="inlineStr">
        <is>
          <t>IT0005534141</t>
        </is>
      </c>
      <c r="C339" t="inlineStr">
        <is>
          <t>Lettieri, Riccardo</t>
        </is>
      </c>
      <c r="D339" t="n">
        <v>1660765.001</v>
      </c>
      <c r="E339" t="inlineStr">
        <is>
          <t>EUR</t>
        </is>
      </c>
      <c r="F339" t="inlineStr">
        <is>
          <t>EUR</t>
        </is>
      </c>
      <c r="G339" t="n">
        <v>34000</v>
      </c>
      <c r="H339" t="inlineStr">
        <is>
          <t>2053-09-30T22:00:00Z</t>
        </is>
      </c>
      <c r="I339" t="n">
        <v>0.0498938798</v>
      </c>
      <c r="J339" t="n">
        <v>99.5335588235294</v>
      </c>
      <c r="K339" t="n">
        <v>93.13</v>
      </c>
      <c r="L339" t="n">
        <v>1</v>
      </c>
      <c r="M339" t="n">
        <v>31777.69</v>
      </c>
      <c r="N339" t="n">
        <v>113.49</v>
      </c>
      <c r="O339" t="n">
        <v>-6.43356763208152</v>
      </c>
      <c r="P339" t="n">
        <v>-6.43356763208152</v>
      </c>
      <c r="Q339" t="n">
        <v>3.83752959900793</v>
      </c>
    </row>
    <row r="340">
      <c r="A340" t="inlineStr">
        <is>
          <t>4.5% Italy Treasury Bonds 01.10.2053 Reg-S Senior</t>
        </is>
      </c>
      <c r="B340" t="inlineStr">
        <is>
          <t>IT0005534141</t>
        </is>
      </c>
      <c r="C340" t="inlineStr">
        <is>
          <t>Alemagna, Tancredi Luigi</t>
        </is>
      </c>
      <c r="D340" t="n">
        <v>1619782.001</v>
      </c>
      <c r="E340" t="inlineStr">
        <is>
          <t>EUR</t>
        </is>
      </c>
      <c r="F340" t="inlineStr">
        <is>
          <t>EUR</t>
        </is>
      </c>
      <c r="G340" t="n">
        <v>87000</v>
      </c>
      <c r="H340" t="inlineStr">
        <is>
          <t>2053-09-30T22:00:00Z</t>
        </is>
      </c>
      <c r="I340" t="n">
        <v>0.0498938798</v>
      </c>
      <c r="J340" t="n">
        <v>99.4555172413793</v>
      </c>
      <c r="K340" t="n">
        <v>93.13</v>
      </c>
      <c r="L340" t="n">
        <v>1</v>
      </c>
      <c r="M340" t="n">
        <v>81313.5</v>
      </c>
      <c r="N340" t="n">
        <v>290.4</v>
      </c>
      <c r="O340" t="n">
        <v>-6.36014714601225</v>
      </c>
      <c r="P340" t="n">
        <v>-6.36014714601225</v>
      </c>
      <c r="Q340" t="n">
        <v>3.111202238855</v>
      </c>
    </row>
    <row r="341">
      <c r="A341" t="inlineStr">
        <is>
          <t>4.5% Italy Treasury Bonds 01.10.2053 Reg-S Senior</t>
        </is>
      </c>
      <c r="B341" t="inlineStr">
        <is>
          <t>IT0005534141</t>
        </is>
      </c>
      <c r="C341" t="inlineStr">
        <is>
          <t>Terenzi, Federico</t>
        </is>
      </c>
      <c r="D341" t="n">
        <v>1620379.001</v>
      </c>
      <c r="E341" t="inlineStr">
        <is>
          <t>EUR</t>
        </is>
      </c>
      <c r="F341" t="inlineStr">
        <is>
          <t>EUR</t>
        </is>
      </c>
      <c r="G341" t="n">
        <v>5000</v>
      </c>
      <c r="H341" t="inlineStr">
        <is>
          <t>2053-09-30T22:00:00Z</t>
        </is>
      </c>
      <c r="I341" t="n">
        <v>0.0498938798</v>
      </c>
      <c r="J341" t="n">
        <v>99.5314</v>
      </c>
      <c r="K341" t="n">
        <v>93.13</v>
      </c>
      <c r="L341" t="n">
        <v>1</v>
      </c>
      <c r="M341" t="n">
        <v>4673.19</v>
      </c>
      <c r="N341" t="n">
        <v>16.69</v>
      </c>
      <c r="O341" t="n">
        <v>-6.43153818794872</v>
      </c>
      <c r="P341" t="n">
        <v>-6.43153818794872</v>
      </c>
      <c r="Q341" t="n">
        <v>3.82877791737861</v>
      </c>
    </row>
    <row r="342">
      <c r="A342" t="inlineStr">
        <is>
          <t>4.5% Italy Treasury Bonds 01.10.2053 Reg-S Senior</t>
        </is>
      </c>
      <c r="B342" t="inlineStr">
        <is>
          <t>IT0005534141</t>
        </is>
      </c>
      <c r="C342" t="inlineStr">
        <is>
          <t>Simon Fiduciaria S.p.A. - POS. FID. 6297</t>
        </is>
      </c>
      <c r="D342" t="n">
        <v>1660666.003</v>
      </c>
      <c r="E342" t="inlineStr">
        <is>
          <t>EUR</t>
        </is>
      </c>
      <c r="F342" t="inlineStr">
        <is>
          <t>EUR</t>
        </is>
      </c>
      <c r="G342" t="n">
        <v>85000</v>
      </c>
      <c r="H342" t="inlineStr">
        <is>
          <t>2053-09-30T22:00:00Z</t>
        </is>
      </c>
      <c r="I342" t="n">
        <v>0.0498938798</v>
      </c>
      <c r="J342" t="n">
        <v>99.3662470588235</v>
      </c>
      <c r="K342" t="n">
        <v>93.13</v>
      </c>
      <c r="L342" t="n">
        <v>1</v>
      </c>
      <c r="M342" t="n">
        <v>79444.22</v>
      </c>
      <c r="N342" t="n">
        <v>283.72</v>
      </c>
      <c r="O342" t="n">
        <v>-6.27602152985787</v>
      </c>
      <c r="P342" t="n">
        <v>-6.27602152985787</v>
      </c>
      <c r="Q342" t="n">
        <v>2.97199423189905</v>
      </c>
    </row>
    <row r="343">
      <c r="A343" t="inlineStr">
        <is>
          <t>4.5% Italy Treasury Bonds 01.10.2053 Reg-S Senior</t>
        </is>
      </c>
      <c r="B343" t="inlineStr">
        <is>
          <t>IT0005534141</t>
        </is>
      </c>
      <c r="C343" t="inlineStr">
        <is>
          <t>Ancona, Giselda</t>
        </is>
      </c>
      <c r="D343" t="n">
        <v>1648638.001</v>
      </c>
      <c r="E343" t="inlineStr">
        <is>
          <t>EUR</t>
        </is>
      </c>
      <c r="F343" t="inlineStr">
        <is>
          <t>EUR</t>
        </is>
      </c>
      <c r="G343" t="n">
        <v>31000</v>
      </c>
      <c r="H343" t="inlineStr">
        <is>
          <t>2053-09-30T22:00:00Z</t>
        </is>
      </c>
      <c r="I343" t="n">
        <v>0.0498938798</v>
      </c>
      <c r="J343" t="n">
        <v>99.52206451612901</v>
      </c>
      <c r="K343" t="n">
        <v>93.13</v>
      </c>
      <c r="L343" t="n">
        <v>1</v>
      </c>
      <c r="M343" t="n">
        <v>28973.78</v>
      </c>
      <c r="N343" t="n">
        <v>103.48</v>
      </c>
      <c r="O343" t="n">
        <v>-6.42276117080861</v>
      </c>
      <c r="P343" t="n">
        <v>-6.42276117080861</v>
      </c>
      <c r="Q343" t="n">
        <v>2.98647497118819</v>
      </c>
    </row>
    <row r="344">
      <c r="A344" t="inlineStr">
        <is>
          <t>4.5% Italy Treasury Bonds 01.10.2053 Reg-S Senior</t>
        </is>
      </c>
      <c r="B344" t="inlineStr">
        <is>
          <t>IT0005534141</t>
        </is>
      </c>
      <c r="C344" t="inlineStr">
        <is>
          <t>Virlinzi, Francesco</t>
        </is>
      </c>
      <c r="D344" t="n">
        <v>1648903.001</v>
      </c>
      <c r="E344" t="inlineStr">
        <is>
          <t>EUR</t>
        </is>
      </c>
      <c r="F344" t="inlineStr">
        <is>
          <t>EUR</t>
        </is>
      </c>
      <c r="G344" t="n">
        <v>607000</v>
      </c>
      <c r="H344" t="inlineStr">
        <is>
          <t>2053-09-30T22:00:00Z</t>
        </is>
      </c>
      <c r="I344" t="n">
        <v>0.0498938798</v>
      </c>
      <c r="J344" t="n">
        <v>99.8534036243822</v>
      </c>
      <c r="K344" t="n">
        <v>93.13</v>
      </c>
      <c r="L344" t="n">
        <v>1</v>
      </c>
      <c r="M344" t="n">
        <v>567325.21</v>
      </c>
      <c r="N344" t="n">
        <v>2026.11</v>
      </c>
      <c r="O344" t="n">
        <v>-6.73327436055518</v>
      </c>
      <c r="P344" t="n">
        <v>-6.73327436055518</v>
      </c>
      <c r="Q344" t="n">
        <v>6.12149163411792</v>
      </c>
    </row>
    <row r="345">
      <c r="A345" t="inlineStr">
        <is>
          <t>4.5% Italy Treasury Bonds 01.10.2053 Reg-S Senior</t>
        </is>
      </c>
      <c r="B345" t="inlineStr">
        <is>
          <t>IT0005534141</t>
        </is>
      </c>
      <c r="C345" t="inlineStr">
        <is>
          <t>Malerba, Maria Clara</t>
        </is>
      </c>
      <c r="D345" t="n">
        <v>1632673.001</v>
      </c>
      <c r="E345" t="inlineStr">
        <is>
          <t>EUR</t>
        </is>
      </c>
      <c r="F345" t="inlineStr">
        <is>
          <t>EUR</t>
        </is>
      </c>
      <c r="G345" t="n">
        <v>169000</v>
      </c>
      <c r="H345" t="inlineStr">
        <is>
          <t>2053-09-30T22:00:00Z</t>
        </is>
      </c>
      <c r="I345" t="n">
        <v>0.0498938798</v>
      </c>
      <c r="J345" t="n">
        <v>99.4929408284023</v>
      </c>
      <c r="K345" t="n">
        <v>93.13</v>
      </c>
      <c r="L345" t="n">
        <v>1</v>
      </c>
      <c r="M345" t="n">
        <v>157953.81</v>
      </c>
      <c r="N345" t="n">
        <v>564.11</v>
      </c>
      <c r="O345" t="n">
        <v>-6.39536913415462</v>
      </c>
      <c r="P345" t="n">
        <v>-6.39536913415462</v>
      </c>
      <c r="Q345" t="n">
        <v>3.00274011533631</v>
      </c>
    </row>
    <row r="346">
      <c r="A346" t="inlineStr">
        <is>
          <t>4.5% Italy Treasury Bonds 01.10.2053 Reg-S Senior</t>
        </is>
      </c>
      <c r="B346" t="inlineStr">
        <is>
          <t>IT0005534141</t>
        </is>
      </c>
      <c r="C346" t="inlineStr">
        <is>
          <t>Galli, Federico</t>
        </is>
      </c>
      <c r="D346" t="n">
        <v>1621661.001</v>
      </c>
      <c r="E346" t="inlineStr">
        <is>
          <t>EUR</t>
        </is>
      </c>
      <c r="F346" t="inlineStr">
        <is>
          <t>EUR</t>
        </is>
      </c>
      <c r="G346" t="n">
        <v>16000</v>
      </c>
      <c r="H346" t="inlineStr">
        <is>
          <t>2053-09-30T22:00:00Z</t>
        </is>
      </c>
      <c r="I346" t="n">
        <v>0.0498938798</v>
      </c>
      <c r="J346" t="n">
        <v>99.53149999999999</v>
      </c>
      <c r="K346" t="n">
        <v>93.13</v>
      </c>
      <c r="L346" t="n">
        <v>1</v>
      </c>
      <c r="M346" t="n">
        <v>14954.21</v>
      </c>
      <c r="N346" t="n">
        <v>53.41</v>
      </c>
      <c r="O346" t="n">
        <v>-6.4316321968422</v>
      </c>
      <c r="P346" t="n">
        <v>-6.4316321968422</v>
      </c>
      <c r="Q346" t="n">
        <v>2.71882319552325</v>
      </c>
    </row>
    <row r="347">
      <c r="A347" t="inlineStr">
        <is>
          <t>4.5% Italy Treasury Bonds 01.10.2053 Reg-S Senior</t>
        </is>
      </c>
      <c r="B347" t="inlineStr">
        <is>
          <t>IT0005534141</t>
        </is>
      </c>
      <c r="C347" t="inlineStr">
        <is>
          <t>BISVALLES ASSETS INC.</t>
        </is>
      </c>
      <c r="D347" t="n">
        <v>1649314.001</v>
      </c>
      <c r="E347" t="inlineStr">
        <is>
          <t>EUR</t>
        </is>
      </c>
      <c r="F347" t="inlineStr">
        <is>
          <t>EUR</t>
        </is>
      </c>
      <c r="G347" t="n">
        <v>406000</v>
      </c>
      <c r="H347" t="inlineStr">
        <is>
          <t>2053-09-30T22:00:00Z</t>
        </is>
      </c>
      <c r="I347" t="n">
        <v>0.0498938798</v>
      </c>
      <c r="J347" t="n">
        <v>100.018426108374</v>
      </c>
      <c r="K347" t="n">
        <v>93.13</v>
      </c>
      <c r="L347" t="n">
        <v>1</v>
      </c>
      <c r="M347" t="n">
        <v>379462.99</v>
      </c>
      <c r="N347" t="n">
        <v>1355.19</v>
      </c>
      <c r="O347" t="n">
        <v>-6.88715707334813</v>
      </c>
      <c r="P347" t="n">
        <v>-6.88715707334813</v>
      </c>
      <c r="Q347" t="n">
        <v>3.91769711496227</v>
      </c>
    </row>
    <row r="348">
      <c r="A348" t="inlineStr">
        <is>
          <t>4.5% Italy Treasury Bonds 01.10.2053 Reg-S Senior</t>
        </is>
      </c>
      <c r="B348" t="inlineStr">
        <is>
          <t>IT0005534141</t>
        </is>
      </c>
      <c r="C348" t="inlineStr">
        <is>
          <t>Laruffa, Serena</t>
        </is>
      </c>
      <c r="D348" t="n">
        <v>1596193.001</v>
      </c>
      <c r="E348" t="inlineStr">
        <is>
          <t>EUR</t>
        </is>
      </c>
      <c r="F348" t="inlineStr">
        <is>
          <t>EUR</t>
        </is>
      </c>
      <c r="G348" t="n">
        <v>104000</v>
      </c>
      <c r="H348" t="inlineStr">
        <is>
          <t>2053-09-30T22:00:00Z</t>
        </is>
      </c>
      <c r="I348" t="n">
        <v>0.0498938798</v>
      </c>
      <c r="J348" t="n">
        <v>99.5376442307692</v>
      </c>
      <c r="K348" t="n">
        <v>93.13</v>
      </c>
      <c r="L348" t="n">
        <v>1</v>
      </c>
      <c r="M348" t="n">
        <v>97202.34</v>
      </c>
      <c r="N348" t="n">
        <v>347.14</v>
      </c>
      <c r="O348" t="n">
        <v>-6.43740795785127</v>
      </c>
      <c r="P348" t="n">
        <v>-6.43740795785127</v>
      </c>
      <c r="Q348" t="n">
        <v>3.19154373693778</v>
      </c>
    </row>
    <row r="349">
      <c r="A349" t="inlineStr">
        <is>
          <t>4.5% Italy Treasury Bonds 01.10.2053 Reg-S Senior</t>
        </is>
      </c>
      <c r="B349" t="inlineStr">
        <is>
          <t>IT0005534141</t>
        </is>
      </c>
      <c r="C349" t="inlineStr">
        <is>
          <t>Hera Società Fiduciaria e di revisione S.p.A. - - 05361</t>
        </is>
      </c>
      <c r="D349" t="n">
        <v>1706128.001</v>
      </c>
      <c r="E349" t="inlineStr">
        <is>
          <t>EUR</t>
        </is>
      </c>
      <c r="F349" t="inlineStr">
        <is>
          <t>EUR</t>
        </is>
      </c>
      <c r="G349" t="n">
        <v>103000</v>
      </c>
      <c r="H349" t="inlineStr">
        <is>
          <t>2053-09-30T22:00:00Z</t>
        </is>
      </c>
      <c r="I349" t="n">
        <v>0.0498938798</v>
      </c>
      <c r="J349" t="n">
        <v>100.379475728155</v>
      </c>
      <c r="K349" t="n">
        <v>93.13</v>
      </c>
      <c r="L349" t="n">
        <v>1</v>
      </c>
      <c r="M349" t="n">
        <v>96267.7</v>
      </c>
      <c r="N349" t="n">
        <v>343.8</v>
      </c>
      <c r="O349" t="n">
        <v>-7.22206972647292</v>
      </c>
      <c r="P349" t="n">
        <v>-7.22206972647292</v>
      </c>
      <c r="Q349" t="n">
        <v>9.50706830926107</v>
      </c>
    </row>
    <row r="350">
      <c r="A350" t="inlineStr">
        <is>
          <t>4.5% Italy Treasury Bonds 01.10.2053 Reg-S Senior</t>
        </is>
      </c>
      <c r="B350" t="inlineStr">
        <is>
          <t>IT0005534141</t>
        </is>
      </c>
      <c r="C350" t="inlineStr">
        <is>
          <t>Lettieri, Umberto</t>
        </is>
      </c>
      <c r="D350" t="n">
        <v>1710712.001</v>
      </c>
      <c r="E350" t="inlineStr">
        <is>
          <t>EUR</t>
        </is>
      </c>
      <c r="F350" t="inlineStr">
        <is>
          <t>USD</t>
        </is>
      </c>
      <c r="G350" t="n">
        <v>8000</v>
      </c>
      <c r="H350" t="inlineStr">
        <is>
          <t>2053-09-30T22:00:00Z</t>
        </is>
      </c>
      <c r="I350" t="n">
        <v>0.0498938798</v>
      </c>
      <c r="J350" t="n">
        <v>99.955125</v>
      </c>
      <c r="K350" t="n">
        <v>93.13</v>
      </c>
      <c r="L350" t="n">
        <v>1.1144</v>
      </c>
      <c r="M350" t="n">
        <v>7477.1</v>
      </c>
      <c r="N350" t="n">
        <v>26.7</v>
      </c>
      <c r="O350" t="n">
        <v>-6.828189149881</v>
      </c>
      <c r="P350" t="n">
        <v>-9.899287164512099</v>
      </c>
      <c r="Q350" t="n">
        <v>0.578338924480131</v>
      </c>
    </row>
    <row r="351">
      <c r="A351" t="inlineStr">
        <is>
          <t>4.5% Italy Treasury Bonds 01.10.2053 Reg-S Senior</t>
        </is>
      </c>
      <c r="B351" t="inlineStr">
        <is>
          <t>IT0005534141</t>
        </is>
      </c>
      <c r="C351" t="inlineStr">
        <is>
          <t>Laruffa, Alessia</t>
        </is>
      </c>
      <c r="D351" t="n">
        <v>1596151.001</v>
      </c>
      <c r="E351" t="inlineStr">
        <is>
          <t>EUR</t>
        </is>
      </c>
      <c r="F351" t="inlineStr">
        <is>
          <t>EUR</t>
        </is>
      </c>
      <c r="G351" t="n">
        <v>84000</v>
      </c>
      <c r="H351" t="inlineStr">
        <is>
          <t>2053-09-30T22:00:00Z</t>
        </is>
      </c>
      <c r="I351" t="n">
        <v>0.0498938798</v>
      </c>
      <c r="J351" t="n">
        <v>99.4522380952381</v>
      </c>
      <c r="K351" t="n">
        <v>93.13</v>
      </c>
      <c r="L351" t="n">
        <v>1</v>
      </c>
      <c r="M351" t="n">
        <v>78509.58</v>
      </c>
      <c r="N351" t="n">
        <v>280.38</v>
      </c>
      <c r="O351" t="n">
        <v>-6.3570596462432</v>
      </c>
      <c r="P351" t="n">
        <v>-6.3570596462432</v>
      </c>
      <c r="Q351" t="n">
        <v>3.37682938807498</v>
      </c>
    </row>
    <row r="352">
      <c r="A352" t="inlineStr">
        <is>
          <t>4.5% Italy Treasury Bonds 01.10.2053 Reg-S Senior</t>
        </is>
      </c>
      <c r="B352" t="inlineStr">
        <is>
          <t>IT0005534141</t>
        </is>
      </c>
      <c r="C352" t="inlineStr">
        <is>
          <t>Siciliano, Rosanna</t>
        </is>
      </c>
      <c r="D352" t="n">
        <v>1597944.001</v>
      </c>
      <c r="E352" t="inlineStr">
        <is>
          <t>EUR</t>
        </is>
      </c>
      <c r="F352" t="inlineStr">
        <is>
          <t>EUR</t>
        </is>
      </c>
      <c r="G352" t="n">
        <v>60000</v>
      </c>
      <c r="H352" t="inlineStr">
        <is>
          <t>2053-09-30T22:00:00Z</t>
        </is>
      </c>
      <c r="I352" t="n">
        <v>0.0498938798</v>
      </c>
      <c r="J352" t="n">
        <v>99.53546666666659</v>
      </c>
      <c r="K352" t="n">
        <v>93.13</v>
      </c>
      <c r="L352" t="n">
        <v>1</v>
      </c>
      <c r="M352" t="n">
        <v>56078.27</v>
      </c>
      <c r="N352" t="n">
        <v>200.27</v>
      </c>
      <c r="O352" t="n">
        <v>-6.43536106392897</v>
      </c>
      <c r="P352" t="n">
        <v>-6.43536106392897</v>
      </c>
      <c r="Q352" t="n">
        <v>3.34833087124704</v>
      </c>
    </row>
    <row r="353">
      <c r="A353" t="inlineStr">
        <is>
          <t>4.5% United States Treasury Notes 31.05.2029 Senior</t>
        </is>
      </c>
      <c r="B353" t="inlineStr">
        <is>
          <t>US91282CKT70</t>
        </is>
      </c>
      <c r="C353" t="inlineStr">
        <is>
          <t>Hera Società Fiduciaria e di revisione S.p.A. -   05250</t>
        </is>
      </c>
      <c r="D353" t="n">
        <v>1696403.001</v>
      </c>
      <c r="E353" t="inlineStr">
        <is>
          <t>USD</t>
        </is>
      </c>
      <c r="F353" t="inlineStr">
        <is>
          <t>EUR</t>
        </is>
      </c>
      <c r="G353" t="n">
        <v>15000</v>
      </c>
      <c r="H353" t="inlineStr">
        <is>
          <t>2029-05-30T22:00:00Z</t>
        </is>
      </c>
      <c r="I353" t="n">
        <v>0.04772</v>
      </c>
      <c r="J353" t="n">
        <v>99.0431333333333</v>
      </c>
      <c r="K353" t="n">
        <v>99.31999999999999</v>
      </c>
      <c r="L353" t="n">
        <v>1.1144</v>
      </c>
      <c r="M353" t="n">
        <v>15174.97</v>
      </c>
      <c r="N353" t="n">
        <v>276.97</v>
      </c>
      <c r="O353" t="n">
        <v>0.279541506158596</v>
      </c>
      <c r="P353" t="n">
        <v>2.39690299176265</v>
      </c>
      <c r="Q353" t="n">
        <v>2.08235937529295</v>
      </c>
    </row>
    <row r="354">
      <c r="A354" t="inlineStr">
        <is>
          <t>4.5% United States Treasury Notes 31.05.2029 Senior</t>
        </is>
      </c>
      <c r="B354" t="inlineStr">
        <is>
          <t>US91282CKT70</t>
        </is>
      </c>
      <c r="C354" t="inlineStr">
        <is>
          <t>Hera Società Fiduciaria e di revisione S.p.A. - - 05361</t>
        </is>
      </c>
      <c r="D354" t="n">
        <v>1706128.001</v>
      </c>
      <c r="E354" t="inlineStr">
        <is>
          <t>USD</t>
        </is>
      </c>
      <c r="F354" t="inlineStr">
        <is>
          <t>EUR</t>
        </is>
      </c>
      <c r="G354" t="n">
        <v>22500</v>
      </c>
      <c r="H354" t="inlineStr">
        <is>
          <t>2029-05-30T22:00:00Z</t>
        </is>
      </c>
      <c r="I354" t="n">
        <v>0.04772</v>
      </c>
      <c r="J354" t="n">
        <v>98.9414222222222</v>
      </c>
      <c r="K354" t="n">
        <v>99.31999999999999</v>
      </c>
      <c r="L354" t="n">
        <v>1.1144</v>
      </c>
      <c r="M354" t="n">
        <v>22762.46</v>
      </c>
      <c r="N354" t="n">
        <v>415.46</v>
      </c>
      <c r="O354" t="n">
        <v>0.38262819481965</v>
      </c>
      <c r="P354" t="n">
        <v>2.14455087959696</v>
      </c>
      <c r="Q354" t="n">
        <v>2.01709810105821</v>
      </c>
    </row>
    <row r="355">
      <c r="A355" t="inlineStr">
        <is>
          <t>4.625% United States Treasury Bonds 15.05.2044 Senior</t>
        </is>
      </c>
      <c r="B355" t="inlineStr">
        <is>
          <t>US912810UB25</t>
        </is>
      </c>
      <c r="C355" t="inlineStr">
        <is>
          <t>Petrassi, Raffaele</t>
        </is>
      </c>
      <c r="D355" t="n">
        <v>1656189.001</v>
      </c>
      <c r="E355" t="inlineStr">
        <is>
          <t>USD</t>
        </is>
      </c>
      <c r="F355" t="inlineStr">
        <is>
          <t>EUR</t>
        </is>
      </c>
      <c r="G355" t="n">
        <v>22800</v>
      </c>
      <c r="H355" t="inlineStr">
        <is>
          <t>2044-05-14T22:00:00Z</t>
        </is>
      </c>
      <c r="I355" t="n">
        <v>0.0534</v>
      </c>
      <c r="J355" t="n">
        <v>99.245745614035</v>
      </c>
      <c r="K355" t="n">
        <v>91.95</v>
      </c>
      <c r="L355" t="n">
        <v>1.1144</v>
      </c>
      <c r="M355" t="n">
        <v>21440.27</v>
      </c>
      <c r="N355" t="n">
        <v>475.67</v>
      </c>
      <c r="O355" t="n">
        <v>-7.35119230441182</v>
      </c>
      <c r="P355" t="n">
        <v>-3.79595550161936</v>
      </c>
      <c r="Q355" t="n">
        <v>6.11563722624869</v>
      </c>
    </row>
    <row r="356">
      <c r="A356" t="inlineStr">
        <is>
          <t>4.625% United States Treasury Bonds 15.05.2044 Senior</t>
        </is>
      </c>
      <c r="B356" t="inlineStr">
        <is>
          <t>US912810UB25</t>
        </is>
      </c>
      <c r="C356" t="inlineStr">
        <is>
          <t>Laruffa, Sergio</t>
        </is>
      </c>
      <c r="D356" t="n">
        <v>1591822.001</v>
      </c>
      <c r="E356" t="inlineStr">
        <is>
          <t>USD</t>
        </is>
      </c>
      <c r="F356" t="inlineStr">
        <is>
          <t>USD</t>
        </is>
      </c>
      <c r="G356" t="n">
        <v>331100</v>
      </c>
      <c r="H356" t="inlineStr">
        <is>
          <t>2044-05-14T22:00:00Z</t>
        </is>
      </c>
      <c r="I356" t="n">
        <v>0.0534</v>
      </c>
      <c r="J356" t="n">
        <v>99.23918453639379</v>
      </c>
      <c r="K356" t="n">
        <v>91.95</v>
      </c>
      <c r="L356" t="n">
        <v>1</v>
      </c>
      <c r="M356" t="n">
        <v>311354.11</v>
      </c>
      <c r="N356" t="n">
        <v>6907.66</v>
      </c>
      <c r="O356" t="n">
        <v>-7.34506694149697</v>
      </c>
      <c r="P356" t="n">
        <v>-7.34506694149697</v>
      </c>
      <c r="Q356" t="n">
        <v>6.35662574490335</v>
      </c>
    </row>
    <row r="357">
      <c r="A357" t="inlineStr">
        <is>
          <t>4.625% United States Treasury Bonds 15.05.2044 Senior</t>
        </is>
      </c>
      <c r="B357" t="inlineStr">
        <is>
          <t>US912810UB25</t>
        </is>
      </c>
      <c r="C357" t="inlineStr">
        <is>
          <t>Bucchioni, Fabio</t>
        </is>
      </c>
      <c r="D357" t="n">
        <v>1592092.001</v>
      </c>
      <c r="E357" t="inlineStr">
        <is>
          <t>USD</t>
        </is>
      </c>
      <c r="F357" t="inlineStr">
        <is>
          <t>EUR</t>
        </is>
      </c>
      <c r="G357" t="n">
        <v>35800</v>
      </c>
      <c r="H357" t="inlineStr">
        <is>
          <t>2044-05-14T22:00:00Z</t>
        </is>
      </c>
      <c r="I357" t="n">
        <v>0.0534</v>
      </c>
      <c r="J357" t="n">
        <v>99.24363128491621</v>
      </c>
      <c r="K357" t="n">
        <v>91.95</v>
      </c>
      <c r="L357" t="n">
        <v>1.1144</v>
      </c>
      <c r="M357" t="n">
        <v>33664.99</v>
      </c>
      <c r="N357" t="n">
        <v>746.89</v>
      </c>
      <c r="O357" t="n">
        <v>-7.34921847425865</v>
      </c>
      <c r="P357" t="n">
        <v>-3.79411234955249</v>
      </c>
      <c r="Q357" t="n">
        <v>6.12827574210973</v>
      </c>
    </row>
    <row r="358">
      <c r="A358" t="inlineStr">
        <is>
          <t>4.625% United States Treasury Bonds 15.05.2044 Senior</t>
        </is>
      </c>
      <c r="B358" t="inlineStr">
        <is>
          <t>US912810UB25</t>
        </is>
      </c>
      <c r="C358" t="inlineStr">
        <is>
          <t>Alemagna, Alberto Pietro</t>
        </is>
      </c>
      <c r="D358" t="n">
        <v>1627998.001</v>
      </c>
      <c r="E358" t="inlineStr">
        <is>
          <t>USD</t>
        </is>
      </c>
      <c r="F358" t="inlineStr">
        <is>
          <t>EUR</t>
        </is>
      </c>
      <c r="G358" t="n">
        <v>202900</v>
      </c>
      <c r="H358" t="inlineStr">
        <is>
          <t>2044-05-14T22:00:00Z</t>
        </is>
      </c>
      <c r="I358" t="n">
        <v>0.0534</v>
      </c>
      <c r="J358" t="n">
        <v>99.24227205519961</v>
      </c>
      <c r="K358" t="n">
        <v>91.95</v>
      </c>
      <c r="L358" t="n">
        <v>1.1144</v>
      </c>
      <c r="M358" t="n">
        <v>190799.61</v>
      </c>
      <c r="N358" t="n">
        <v>4233.06</v>
      </c>
      <c r="O358" t="n">
        <v>-7.34794952209837</v>
      </c>
      <c r="P358" t="n">
        <v>-3.80738618462858</v>
      </c>
      <c r="Q358" t="n">
        <v>6.05920695619377</v>
      </c>
    </row>
    <row r="359">
      <c r="A359" t="inlineStr">
        <is>
          <t>4.625% United States Treasury Bonds 15.05.2044 Senior</t>
        </is>
      </c>
      <c r="B359" t="inlineStr">
        <is>
          <t>US912810UB25</t>
        </is>
      </c>
      <c r="C359" t="inlineStr">
        <is>
          <t>Simon Fiduciaria S.p.A. - POS. FID. 6297</t>
        </is>
      </c>
      <c r="D359" t="n">
        <v>1660666.001</v>
      </c>
      <c r="E359" t="inlineStr">
        <is>
          <t>USD</t>
        </is>
      </c>
      <c r="F359" t="inlineStr">
        <is>
          <t>EUR</t>
        </is>
      </c>
      <c r="G359" t="n">
        <v>266000</v>
      </c>
      <c r="H359" t="inlineStr">
        <is>
          <t>2044-05-14T22:00:00Z</t>
        </is>
      </c>
      <c r="I359" t="n">
        <v>0.0534</v>
      </c>
      <c r="J359" t="n">
        <v>99.2428458646616</v>
      </c>
      <c r="K359" t="n">
        <v>91.95</v>
      </c>
      <c r="L359" t="n">
        <v>1.1144</v>
      </c>
      <c r="M359" t="n">
        <v>250136.5</v>
      </c>
      <c r="N359" t="n">
        <v>5549.5</v>
      </c>
      <c r="O359" t="n">
        <v>-7.3484852244231</v>
      </c>
      <c r="P359" t="n">
        <v>-3.80705828622922</v>
      </c>
      <c r="Q359" t="n">
        <v>5.95837679767484</v>
      </c>
    </row>
    <row r="360">
      <c r="A360" t="inlineStr">
        <is>
          <t>4.625% United States Treasury Bonds 15.05.2044 Senior</t>
        </is>
      </c>
      <c r="B360" t="inlineStr">
        <is>
          <t>US912810UB25</t>
        </is>
      </c>
      <c r="C360" t="inlineStr">
        <is>
          <t>Marchesi, Riccardo</t>
        </is>
      </c>
      <c r="D360" t="n">
        <v>1592866.001</v>
      </c>
      <c r="E360" t="inlineStr">
        <is>
          <t>USD</t>
        </is>
      </c>
      <c r="F360" t="inlineStr">
        <is>
          <t>EUR</t>
        </is>
      </c>
      <c r="G360" t="n">
        <v>92600</v>
      </c>
      <c r="H360" t="inlineStr">
        <is>
          <t>2044-05-14T22:00:00Z</t>
        </is>
      </c>
      <c r="I360" t="n">
        <v>0.0534</v>
      </c>
      <c r="J360" t="n">
        <v>99.24234341252691</v>
      </c>
      <c r="K360" t="n">
        <v>91.95</v>
      </c>
      <c r="L360" t="n">
        <v>1.1144</v>
      </c>
      <c r="M360" t="n">
        <v>87077.59</v>
      </c>
      <c r="N360" t="n">
        <v>1931.89</v>
      </c>
      <c r="O360" t="n">
        <v>-7.34801614086685</v>
      </c>
      <c r="P360" t="n">
        <v>-3.81152318914658</v>
      </c>
      <c r="Q360" t="n">
        <v>6.11359543157669</v>
      </c>
    </row>
    <row r="361">
      <c r="A361" t="inlineStr">
        <is>
          <t>4.625% United States Treasury Bonds 15.05.2044 Senior</t>
        </is>
      </c>
      <c r="B361" t="inlineStr">
        <is>
          <t>US912810UB25</t>
        </is>
      </c>
      <c r="C361" t="inlineStr">
        <is>
          <t>Saira Holding S.r.L.</t>
        </is>
      </c>
      <c r="D361" t="n">
        <v>1690341.001</v>
      </c>
      <c r="E361" t="inlineStr">
        <is>
          <t>USD</t>
        </is>
      </c>
      <c r="F361" t="inlineStr">
        <is>
          <t>EUR</t>
        </is>
      </c>
      <c r="G361" t="n">
        <v>12300</v>
      </c>
      <c r="H361" t="inlineStr">
        <is>
          <t>2044-05-14T22:00:00Z</t>
        </is>
      </c>
      <c r="I361" t="n">
        <v>0.0534</v>
      </c>
      <c r="J361" t="n">
        <v>99.2331707317073</v>
      </c>
      <c r="K361" t="n">
        <v>91.95</v>
      </c>
      <c r="L361" t="n">
        <v>1.1144</v>
      </c>
      <c r="M361" t="n">
        <v>11566.46</v>
      </c>
      <c r="N361" t="n">
        <v>256.61</v>
      </c>
      <c r="O361" t="n">
        <v>-7.33945179621291</v>
      </c>
      <c r="P361" t="n">
        <v>-3.79459080265814</v>
      </c>
      <c r="Q361" t="n">
        <v>6.04239998789037</v>
      </c>
    </row>
    <row r="362">
      <c r="A362" t="inlineStr">
        <is>
          <t>4.625% United States Treasury Bonds 15.05.2044 Senior</t>
        </is>
      </c>
      <c r="B362" t="inlineStr">
        <is>
          <t>US912810UB25</t>
        </is>
      </c>
      <c r="C362" t="inlineStr">
        <is>
          <t>Minardi, Mario Paolo</t>
        </is>
      </c>
      <c r="D362" t="n">
        <v>1650579.001</v>
      </c>
      <c r="E362" t="inlineStr">
        <is>
          <t>USD</t>
        </is>
      </c>
      <c r="F362" t="inlineStr">
        <is>
          <t>EUR</t>
        </is>
      </c>
      <c r="G362" t="n">
        <v>40800</v>
      </c>
      <c r="H362" t="inlineStr">
        <is>
          <t>2044-05-14T22:00:00Z</t>
        </is>
      </c>
      <c r="I362" t="n">
        <v>0.0534</v>
      </c>
      <c r="J362" t="n">
        <v>99.2454166666666</v>
      </c>
      <c r="K362" t="n">
        <v>91.95</v>
      </c>
      <c r="L362" t="n">
        <v>1.1144</v>
      </c>
      <c r="M362" t="n">
        <v>38366.8</v>
      </c>
      <c r="N362" t="n">
        <v>851.2</v>
      </c>
      <c r="O362" t="n">
        <v>-7.35088522139981</v>
      </c>
      <c r="P362" t="n">
        <v>-3.80864397906956</v>
      </c>
      <c r="Q362" t="n">
        <v>6.1145025175396</v>
      </c>
    </row>
    <row r="363">
      <c r="A363" t="inlineStr">
        <is>
          <t>4.625% United States Treasury Bonds 15.05.2044 Senior</t>
        </is>
      </c>
      <c r="B363" t="inlineStr">
        <is>
          <t>US912810UB25</t>
        </is>
      </c>
      <c r="C363" t="inlineStr">
        <is>
          <t>Cariboni, Elisa</t>
        </is>
      </c>
      <c r="D363" t="n">
        <v>1600379.001</v>
      </c>
      <c r="E363" t="inlineStr">
        <is>
          <t>USD</t>
        </is>
      </c>
      <c r="F363" t="inlineStr">
        <is>
          <t>EUR</t>
        </is>
      </c>
      <c r="G363" t="n">
        <v>93200</v>
      </c>
      <c r="H363" t="inlineStr">
        <is>
          <t>2044-05-14T22:00:00Z</t>
        </is>
      </c>
      <c r="I363" t="n">
        <v>0.0534</v>
      </c>
      <c r="J363" t="n">
        <v>99.2430364806867</v>
      </c>
      <c r="K363" t="n">
        <v>91.95</v>
      </c>
      <c r="L363" t="n">
        <v>1.1144</v>
      </c>
      <c r="M363" t="n">
        <v>87641.81</v>
      </c>
      <c r="N363" t="n">
        <v>1944.41</v>
      </c>
      <c r="O363" t="n">
        <v>-7.34866318011739</v>
      </c>
      <c r="P363" t="n">
        <v>-3.80987882570891</v>
      </c>
      <c r="Q363" t="n">
        <v>6.12283578760976</v>
      </c>
    </row>
    <row r="364">
      <c r="A364" t="inlineStr">
        <is>
          <t>4.625% United States Treasury Bonds 15.05.2044 Senior</t>
        </is>
      </c>
      <c r="B364" t="inlineStr">
        <is>
          <t>US912810UB25</t>
        </is>
      </c>
      <c r="C364" t="inlineStr">
        <is>
          <t>Hera Società Fiduciaria e di revisione S.p.A. -   05250</t>
        </is>
      </c>
      <c r="D364" t="n">
        <v>1696403.001</v>
      </c>
      <c r="E364" t="inlineStr">
        <is>
          <t>USD</t>
        </is>
      </c>
      <c r="F364" t="inlineStr">
        <is>
          <t>EUR</t>
        </is>
      </c>
      <c r="G364" t="n">
        <v>61700</v>
      </c>
      <c r="H364" t="inlineStr">
        <is>
          <t>2044-05-14T22:00:00Z</t>
        </is>
      </c>
      <c r="I364" t="n">
        <v>0.0534</v>
      </c>
      <c r="J364" t="n">
        <v>99.10570502431111</v>
      </c>
      <c r="K364" t="n">
        <v>91.95</v>
      </c>
      <c r="L364" t="n">
        <v>1.1144</v>
      </c>
      <c r="M364" t="n">
        <v>58020.38</v>
      </c>
      <c r="N364" t="n">
        <v>1287.23</v>
      </c>
      <c r="O364" t="n">
        <v>-7.22027558610863</v>
      </c>
      <c r="P364" t="n">
        <v>-3.28255649437093</v>
      </c>
      <c r="Q364" t="n">
        <v>7.96174435040107</v>
      </c>
    </row>
    <row r="365">
      <c r="A365" t="inlineStr">
        <is>
          <t>4.625% United States Treasury Bonds 15.05.2044 Senior</t>
        </is>
      </c>
      <c r="B365" t="inlineStr">
        <is>
          <t>US912810UB25</t>
        </is>
      </c>
      <c r="C365" t="inlineStr">
        <is>
          <t>Lettieri, Riccardo</t>
        </is>
      </c>
      <c r="D365" t="n">
        <v>1660765.001</v>
      </c>
      <c r="E365" t="inlineStr">
        <is>
          <t>USD</t>
        </is>
      </c>
      <c r="F365" t="inlineStr">
        <is>
          <t>EUR</t>
        </is>
      </c>
      <c r="G365" t="n">
        <v>83000</v>
      </c>
      <c r="H365" t="inlineStr">
        <is>
          <t>2044-05-14T22:00:00Z</t>
        </is>
      </c>
      <c r="I365" t="n">
        <v>0.0534</v>
      </c>
      <c r="J365" t="n">
        <v>99.2472048192771</v>
      </c>
      <c r="K365" t="n">
        <v>91.95</v>
      </c>
      <c r="L365" t="n">
        <v>1.1144</v>
      </c>
      <c r="M365" t="n">
        <v>78050.11</v>
      </c>
      <c r="N365" t="n">
        <v>1731.61</v>
      </c>
      <c r="O365" t="n">
        <v>-7.35255449517682</v>
      </c>
      <c r="P365" t="n">
        <v>-3.80442019869205</v>
      </c>
      <c r="Q365" t="n">
        <v>8.457549477841869</v>
      </c>
    </row>
    <row r="366">
      <c r="A366" t="inlineStr">
        <is>
          <t>4.625% United States Treasury Bonds 15.05.2044 Senior</t>
        </is>
      </c>
      <c r="B366" t="inlineStr">
        <is>
          <t>US912810UB25</t>
        </is>
      </c>
      <c r="C366" t="inlineStr">
        <is>
          <t>Alemagna, Tancredi Luigi</t>
        </is>
      </c>
      <c r="D366" t="n">
        <v>1619782.001</v>
      </c>
      <c r="E366" t="inlineStr">
        <is>
          <t>USD</t>
        </is>
      </c>
      <c r="F366" t="inlineStr">
        <is>
          <t>EUR</t>
        </is>
      </c>
      <c r="G366" t="n">
        <v>200900</v>
      </c>
      <c r="H366" t="inlineStr">
        <is>
          <t>2044-05-14T22:00:00Z</t>
        </is>
      </c>
      <c r="I366" t="n">
        <v>0.0534</v>
      </c>
      <c r="J366" t="n">
        <v>99.2436386261821</v>
      </c>
      <c r="K366" t="n">
        <v>91.95</v>
      </c>
      <c r="L366" t="n">
        <v>1.1144</v>
      </c>
      <c r="M366" t="n">
        <v>188918.88</v>
      </c>
      <c r="N366" t="n">
        <v>4191.33</v>
      </c>
      <c r="O366" t="n">
        <v>-7.34922532783677</v>
      </c>
      <c r="P366" t="n">
        <v>-3.80675781483036</v>
      </c>
      <c r="Q366" t="n">
        <v>6.48608387496824</v>
      </c>
    </row>
    <row r="367">
      <c r="A367" t="inlineStr">
        <is>
          <t>4.625% United States Treasury Bonds 15.05.2044 Senior</t>
        </is>
      </c>
      <c r="B367" t="inlineStr">
        <is>
          <t>US912810UB25</t>
        </is>
      </c>
      <c r="C367" t="inlineStr">
        <is>
          <t>Terenzi, Federico</t>
        </is>
      </c>
      <c r="D367" t="n">
        <v>1620379.001</v>
      </c>
      <c r="E367" t="inlineStr">
        <is>
          <t>USD</t>
        </is>
      </c>
      <c r="F367" t="inlineStr">
        <is>
          <t>EUR</t>
        </is>
      </c>
      <c r="G367" t="n">
        <v>12300</v>
      </c>
      <c r="H367" t="inlineStr">
        <is>
          <t>2044-05-14T22:00:00Z</t>
        </is>
      </c>
      <c r="I367" t="n">
        <v>0.0534</v>
      </c>
      <c r="J367" t="n">
        <v>99.2756097560975</v>
      </c>
      <c r="K367" t="n">
        <v>91.95</v>
      </c>
      <c r="L367" t="n">
        <v>1.1144</v>
      </c>
      <c r="M367" t="n">
        <v>11566.46</v>
      </c>
      <c r="N367" t="n">
        <v>256.61</v>
      </c>
      <c r="O367" t="n">
        <v>-7.37906296833157</v>
      </c>
      <c r="P367" t="n">
        <v>-3.83725403614766</v>
      </c>
      <c r="Q367" t="n">
        <v>8.503326591801111</v>
      </c>
    </row>
    <row r="368">
      <c r="A368" t="inlineStr">
        <is>
          <t>4.625% United States Treasury Bonds 15.05.2044 Senior</t>
        </is>
      </c>
      <c r="B368" t="inlineStr">
        <is>
          <t>US912810UB25</t>
        </is>
      </c>
      <c r="C368" t="inlineStr">
        <is>
          <t>Simon Fiduciaria S.p.A. - POS. FID. 6297</t>
        </is>
      </c>
      <c r="D368" t="n">
        <v>1660666.003</v>
      </c>
      <c r="E368" t="inlineStr">
        <is>
          <t>USD</t>
        </is>
      </c>
      <c r="F368" t="inlineStr">
        <is>
          <t>EUR</t>
        </is>
      </c>
      <c r="G368" t="n">
        <v>195000</v>
      </c>
      <c r="H368" t="inlineStr">
        <is>
          <t>2044-05-14T22:00:00Z</t>
        </is>
      </c>
      <c r="I368" t="n">
        <v>0.0534</v>
      </c>
      <c r="J368" t="n">
        <v>99.24543076923069</v>
      </c>
      <c r="K368" t="n">
        <v>91.95</v>
      </c>
      <c r="L368" t="n">
        <v>1.1144</v>
      </c>
      <c r="M368" t="n">
        <v>183370.74</v>
      </c>
      <c r="N368" t="n">
        <v>4068.24</v>
      </c>
      <c r="O368" t="n">
        <v>-7.35089838664147</v>
      </c>
      <c r="P368" t="n">
        <v>-3.80787019668167</v>
      </c>
      <c r="Q368" t="n">
        <v>6.155414943419</v>
      </c>
    </row>
    <row r="369">
      <c r="A369" t="inlineStr">
        <is>
          <t>4.625% United States Treasury Bonds 15.05.2044 Senior</t>
        </is>
      </c>
      <c r="B369" t="inlineStr">
        <is>
          <t>US912810UB25</t>
        </is>
      </c>
      <c r="C369" t="inlineStr">
        <is>
          <t>Fariniundici S.p.A.</t>
        </is>
      </c>
      <c r="D369" t="n">
        <v>1644446.001</v>
      </c>
      <c r="E369" t="inlineStr">
        <is>
          <t>USD</t>
        </is>
      </c>
      <c r="F369" t="inlineStr">
        <is>
          <t>EUR</t>
        </is>
      </c>
      <c r="G369" t="n">
        <v>781800</v>
      </c>
      <c r="H369" t="inlineStr">
        <is>
          <t>2044-05-14T22:00:00Z</t>
        </is>
      </c>
      <c r="I369" t="n">
        <v>0.0534</v>
      </c>
      <c r="J369" t="n">
        <v>99.2778933231005</v>
      </c>
      <c r="K369" t="n">
        <v>91.95</v>
      </c>
      <c r="L369" t="n">
        <v>1.1144</v>
      </c>
      <c r="M369" t="n">
        <v>735175.61</v>
      </c>
      <c r="N369" t="n">
        <v>16310.51</v>
      </c>
      <c r="O369" t="n">
        <v>-7.38119341357482</v>
      </c>
      <c r="P369" t="n">
        <v>-3.84981991914211</v>
      </c>
      <c r="Q369" t="n">
        <v>6.05814774121739</v>
      </c>
    </row>
    <row r="370">
      <c r="A370" t="inlineStr">
        <is>
          <t>4.625% United States Treasury Bonds 15.05.2044 Senior</t>
        </is>
      </c>
      <c r="B370" t="inlineStr">
        <is>
          <t>US912810UB25</t>
        </is>
      </c>
      <c r="C370" t="inlineStr">
        <is>
          <t>Bertini, Marco</t>
        </is>
      </c>
      <c r="D370" t="n">
        <v>112029.001</v>
      </c>
      <c r="E370" t="inlineStr">
        <is>
          <t>USD</t>
        </is>
      </c>
      <c r="F370" t="inlineStr">
        <is>
          <t>USD</t>
        </is>
      </c>
      <c r="G370" t="n">
        <v>106600</v>
      </c>
      <c r="H370" t="inlineStr">
        <is>
          <t>2044-05-14T22:00:00Z</t>
        </is>
      </c>
      <c r="I370" t="n">
        <v>0.0534</v>
      </c>
      <c r="J370" t="n">
        <v>99.2430581613508</v>
      </c>
      <c r="K370" t="n">
        <v>91.95</v>
      </c>
      <c r="L370" t="n">
        <v>1</v>
      </c>
      <c r="M370" t="n">
        <v>100242.67</v>
      </c>
      <c r="N370" t="n">
        <v>2223.97</v>
      </c>
      <c r="O370" t="n">
        <v>-7.34868342075239</v>
      </c>
      <c r="P370" t="n">
        <v>-7.34868342075239</v>
      </c>
      <c r="Q370" t="n">
        <v>6.48522276480028</v>
      </c>
    </row>
    <row r="371">
      <c r="A371" t="inlineStr">
        <is>
          <t>4.625% United States Treasury Bonds 15.05.2044 Senior</t>
        </is>
      </c>
      <c r="B371" t="inlineStr">
        <is>
          <t>US912810UB25</t>
        </is>
      </c>
      <c r="C371" t="inlineStr">
        <is>
          <t>Ancona, Giselda</t>
        </is>
      </c>
      <c r="D371" t="n">
        <v>1648638.001</v>
      </c>
      <c r="E371" t="inlineStr">
        <is>
          <t>USD</t>
        </is>
      </c>
      <c r="F371" t="inlineStr">
        <is>
          <t>EUR</t>
        </is>
      </c>
      <c r="G371" t="n">
        <v>71800</v>
      </c>
      <c r="H371" t="inlineStr">
        <is>
          <t>2044-05-14T22:00:00Z</t>
        </is>
      </c>
      <c r="I371" t="n">
        <v>0.0534</v>
      </c>
      <c r="J371" t="n">
        <v>99.25154596100271</v>
      </c>
      <c r="K371" t="n">
        <v>91.95</v>
      </c>
      <c r="L371" t="n">
        <v>1.1144</v>
      </c>
      <c r="M371" t="n">
        <v>67518.05</v>
      </c>
      <c r="N371" t="n">
        <v>1497.95</v>
      </c>
      <c r="O371" t="n">
        <v>-7.35660678159276</v>
      </c>
      <c r="P371" t="n">
        <v>-3.81671779415026</v>
      </c>
      <c r="Q371" t="n">
        <v>6.24475276929524</v>
      </c>
    </row>
    <row r="372">
      <c r="A372" t="inlineStr">
        <is>
          <t>4.625% United States Treasury Bonds 15.05.2044 Senior</t>
        </is>
      </c>
      <c r="B372" t="inlineStr">
        <is>
          <t>US912810UB25</t>
        </is>
      </c>
      <c r="C372" t="inlineStr">
        <is>
          <t>Virlinzi, Francesco</t>
        </is>
      </c>
      <c r="D372" t="n">
        <v>1648903.001</v>
      </c>
      <c r="E372" t="inlineStr">
        <is>
          <t>USD</t>
        </is>
      </c>
      <c r="F372" t="inlineStr">
        <is>
          <t>EUR</t>
        </is>
      </c>
      <c r="G372" t="n">
        <v>671400</v>
      </c>
      <c r="H372" t="inlineStr">
        <is>
          <t>2044-05-14T22:00:00Z</t>
        </is>
      </c>
      <c r="I372" t="n">
        <v>0.0534</v>
      </c>
      <c r="J372" t="n">
        <v>99.2424769139112</v>
      </c>
      <c r="K372" t="n">
        <v>91.95</v>
      </c>
      <c r="L372" t="n">
        <v>1.1144</v>
      </c>
      <c r="M372" t="n">
        <v>631359.5600000001</v>
      </c>
      <c r="N372" t="n">
        <v>14007.26</v>
      </c>
      <c r="O372" t="n">
        <v>-7.34814077669298</v>
      </c>
      <c r="P372" t="n">
        <v>-3.80911415904561</v>
      </c>
      <c r="Q372" t="n">
        <v>6.11284758291666</v>
      </c>
    </row>
    <row r="373">
      <c r="A373" t="inlineStr">
        <is>
          <t>4.625% United States Treasury Bonds 15.05.2044 Senior</t>
        </is>
      </c>
      <c r="B373" t="inlineStr">
        <is>
          <t>US912810UB25</t>
        </is>
      </c>
      <c r="C373" t="inlineStr">
        <is>
          <t>Malerba, Maria Clara</t>
        </is>
      </c>
      <c r="D373" t="n">
        <v>1632673.001</v>
      </c>
      <c r="E373" t="inlineStr">
        <is>
          <t>USD</t>
        </is>
      </c>
      <c r="F373" t="inlineStr">
        <is>
          <t>EUR</t>
        </is>
      </c>
      <c r="G373" t="n">
        <v>396400</v>
      </c>
      <c r="H373" t="inlineStr">
        <is>
          <t>2044-05-14T22:00:00Z</t>
        </is>
      </c>
      <c r="I373" t="n">
        <v>0.0534</v>
      </c>
      <c r="J373" t="n">
        <v>99.2424470232088</v>
      </c>
      <c r="K373" t="n">
        <v>91.95</v>
      </c>
      <c r="L373" t="n">
        <v>1.1144</v>
      </c>
      <c r="M373" t="n">
        <v>372759.8</v>
      </c>
      <c r="N373" t="n">
        <v>8270</v>
      </c>
      <c r="O373" t="n">
        <v>-7.34811287100112</v>
      </c>
      <c r="P373" t="n">
        <v>-3.8217185922363</v>
      </c>
      <c r="Q373" t="n">
        <v>6.35855364887076</v>
      </c>
    </row>
    <row r="374">
      <c r="A374" t="inlineStr">
        <is>
          <t>4.625% United States Treasury Bonds 15.05.2044 Senior</t>
        </is>
      </c>
      <c r="B374" t="inlineStr">
        <is>
          <t>US912810UB25</t>
        </is>
      </c>
      <c r="C374" t="inlineStr">
        <is>
          <t>Galli, Federico</t>
        </is>
      </c>
      <c r="D374" t="n">
        <v>1621661.001</v>
      </c>
      <c r="E374" t="inlineStr">
        <is>
          <t>USD</t>
        </is>
      </c>
      <c r="F374" t="inlineStr">
        <is>
          <t>EUR</t>
        </is>
      </c>
      <c r="G374" t="n">
        <v>38500</v>
      </c>
      <c r="H374" t="inlineStr">
        <is>
          <t>2044-05-14T22:00:00Z</t>
        </is>
      </c>
      <c r="I374" t="n">
        <v>0.0534</v>
      </c>
      <c r="J374" t="n">
        <v>99.2383636363636</v>
      </c>
      <c r="K374" t="n">
        <v>91.95</v>
      </c>
      <c r="L374" t="n">
        <v>1.1144</v>
      </c>
      <c r="M374" t="n">
        <v>36203.97</v>
      </c>
      <c r="N374" t="n">
        <v>803.22</v>
      </c>
      <c r="O374" t="n">
        <v>-7.34430049962349</v>
      </c>
      <c r="P374" t="n">
        <v>-3.79374886425586</v>
      </c>
      <c r="Q374" t="n">
        <v>5.90629773077628</v>
      </c>
    </row>
    <row r="375">
      <c r="A375" t="inlineStr">
        <is>
          <t>4.625% United States Treasury Bonds 15.05.2044 Senior</t>
        </is>
      </c>
      <c r="B375" t="inlineStr">
        <is>
          <t>US912810UB25</t>
        </is>
      </c>
      <c r="C375" t="inlineStr">
        <is>
          <t>BISVALLES ASSETS INC.</t>
        </is>
      </c>
      <c r="D375" t="n">
        <v>1649314.001</v>
      </c>
      <c r="E375" t="inlineStr">
        <is>
          <t>USD</t>
        </is>
      </c>
      <c r="F375" t="inlineStr">
        <is>
          <t>EUR</t>
        </is>
      </c>
      <c r="G375" t="n">
        <v>702000</v>
      </c>
      <c r="H375" t="inlineStr">
        <is>
          <t>2044-05-14T22:00:00Z</t>
        </is>
      </c>
      <c r="I375" t="n">
        <v>0.0534</v>
      </c>
      <c r="J375" t="n">
        <v>99.27767806267801</v>
      </c>
      <c r="K375" t="n">
        <v>91.95</v>
      </c>
      <c r="L375" t="n">
        <v>1.1144</v>
      </c>
      <c r="M375" t="n">
        <v>660134.67</v>
      </c>
      <c r="N375" t="n">
        <v>14645.67</v>
      </c>
      <c r="O375" t="n">
        <v>-7.38099259135754</v>
      </c>
      <c r="P375" t="n">
        <v>-3.84807531823208</v>
      </c>
      <c r="Q375" t="n">
        <v>6.11555113744431</v>
      </c>
    </row>
    <row r="376">
      <c r="A376" t="inlineStr">
        <is>
          <t>4.625% United States Treasury Bonds 15.05.2044 Senior</t>
        </is>
      </c>
      <c r="B376" t="inlineStr">
        <is>
          <t>US912810UB25</t>
        </is>
      </c>
      <c r="C376" t="inlineStr">
        <is>
          <t>Laruffa, Serena</t>
        </is>
      </c>
      <c r="D376" t="n">
        <v>1596193.001</v>
      </c>
      <c r="E376" t="inlineStr">
        <is>
          <t>USD</t>
        </is>
      </c>
      <c r="F376" t="inlineStr">
        <is>
          <t>EUR</t>
        </is>
      </c>
      <c r="G376" t="n">
        <v>245000</v>
      </c>
      <c r="H376" t="inlineStr">
        <is>
          <t>2044-05-14T22:00:00Z</t>
        </is>
      </c>
      <c r="I376" t="n">
        <v>0.0534</v>
      </c>
      <c r="J376" t="n">
        <v>99.24348979591829</v>
      </c>
      <c r="K376" t="n">
        <v>91.95</v>
      </c>
      <c r="L376" t="n">
        <v>1.1144</v>
      </c>
      <c r="M376" t="n">
        <v>230388.88</v>
      </c>
      <c r="N376" t="n">
        <v>5111.38</v>
      </c>
      <c r="O376" t="n">
        <v>-7.34908638432254</v>
      </c>
      <c r="P376" t="n">
        <v>-3.81095791787045</v>
      </c>
      <c r="Q376" t="n">
        <v>6.78777138759494</v>
      </c>
    </row>
    <row r="377">
      <c r="A377" t="inlineStr">
        <is>
          <t>4.625% United States Treasury Bonds 15.05.2044 Senior</t>
        </is>
      </c>
      <c r="B377" t="inlineStr">
        <is>
          <t>US912810UB25</t>
        </is>
      </c>
      <c r="C377" t="inlineStr">
        <is>
          <t>Hera Società Fiduciaria e di revisione S.p.A. - - 05361</t>
        </is>
      </c>
      <c r="D377" t="n">
        <v>1706128.001</v>
      </c>
      <c r="E377" t="inlineStr">
        <is>
          <t>USD</t>
        </is>
      </c>
      <c r="F377" t="inlineStr">
        <is>
          <t>EUR</t>
        </is>
      </c>
      <c r="G377" t="n">
        <v>75600</v>
      </c>
      <c r="H377" t="inlineStr">
        <is>
          <t>2044-05-14T22:00:00Z</t>
        </is>
      </c>
      <c r="I377" t="n">
        <v>0.0534</v>
      </c>
      <c r="J377" t="n">
        <v>99.2431613756613</v>
      </c>
      <c r="K377" t="n">
        <v>91.95</v>
      </c>
      <c r="L377" t="n">
        <v>1.1144</v>
      </c>
      <c r="M377" t="n">
        <v>71091.42999999999</v>
      </c>
      <c r="N377" t="n">
        <v>1577.23</v>
      </c>
      <c r="O377" t="n">
        <v>-7.34877977944983</v>
      </c>
      <c r="P377" t="n">
        <v>-3.8050539634443</v>
      </c>
      <c r="Q377" t="n">
        <v>6.29977275815884</v>
      </c>
    </row>
    <row r="378">
      <c r="A378" t="inlineStr">
        <is>
          <t>4.625% United States Treasury Bonds 15.05.2044 Senior</t>
        </is>
      </c>
      <c r="B378" t="inlineStr">
        <is>
          <t>US912810UB25</t>
        </is>
      </c>
      <c r="C378" t="inlineStr">
        <is>
          <t>Lettieri, Umberto</t>
        </is>
      </c>
      <c r="D378" t="n">
        <v>1710712.001</v>
      </c>
      <c r="E378" t="inlineStr">
        <is>
          <t>USD</t>
        </is>
      </c>
      <c r="F378" t="inlineStr">
        <is>
          <t>USD</t>
        </is>
      </c>
      <c r="G378" t="n">
        <v>83400</v>
      </c>
      <c r="H378" t="inlineStr">
        <is>
          <t>2044-05-14T22:00:00Z</t>
        </is>
      </c>
      <c r="I378" t="n">
        <v>0.0534</v>
      </c>
      <c r="J378" t="n">
        <v>97.2938369304556</v>
      </c>
      <c r="K378" t="n">
        <v>91.95</v>
      </c>
      <c r="L378" t="n">
        <v>1</v>
      </c>
      <c r="M378" t="n">
        <v>78426.25999999999</v>
      </c>
      <c r="N378" t="n">
        <v>1739.96</v>
      </c>
      <c r="O378" t="n">
        <v>-5.49247218431249</v>
      </c>
      <c r="P378" t="n">
        <v>-5.49247218431249</v>
      </c>
      <c r="Q378" t="n">
        <v>5.44317036242221</v>
      </c>
    </row>
    <row r="379">
      <c r="A379" t="inlineStr">
        <is>
          <t>4.625% United States Treasury Bonds 15.05.2044 Senior</t>
        </is>
      </c>
      <c r="B379" t="inlineStr">
        <is>
          <t>US912810UB25</t>
        </is>
      </c>
      <c r="C379" t="inlineStr">
        <is>
          <t>Laruffa, Alessia</t>
        </is>
      </c>
      <c r="D379" t="n">
        <v>1596151.001</v>
      </c>
      <c r="E379" t="inlineStr">
        <is>
          <t>USD</t>
        </is>
      </c>
      <c r="F379" t="inlineStr">
        <is>
          <t>EUR</t>
        </is>
      </c>
      <c r="G379" t="n">
        <v>195700</v>
      </c>
      <c r="H379" t="inlineStr">
        <is>
          <t>2044-05-14T22:00:00Z</t>
        </is>
      </c>
      <c r="I379" t="n">
        <v>0.0534</v>
      </c>
      <c r="J379" t="n">
        <v>99.24343382728659</v>
      </c>
      <c r="K379" t="n">
        <v>91.95</v>
      </c>
      <c r="L379" t="n">
        <v>1.1144</v>
      </c>
      <c r="M379" t="n">
        <v>184028.99</v>
      </c>
      <c r="N379" t="n">
        <v>4082.84</v>
      </c>
      <c r="O379" t="n">
        <v>-7.34903413356235</v>
      </c>
      <c r="P379" t="n">
        <v>-3.81603382313739</v>
      </c>
      <c r="Q379" t="n">
        <v>7.10255064630305</v>
      </c>
    </row>
    <row r="380">
      <c r="A380" t="inlineStr">
        <is>
          <t>4.625% United States Treasury Bonds 15.05.2044 Senior</t>
        </is>
      </c>
      <c r="B380" t="inlineStr">
        <is>
          <t>US912810UB25</t>
        </is>
      </c>
      <c r="C380" t="inlineStr">
        <is>
          <t>Siciliano, Rosanna</t>
        </is>
      </c>
      <c r="D380" t="n">
        <v>1597944.001</v>
      </c>
      <c r="E380" t="inlineStr">
        <is>
          <t>USD</t>
        </is>
      </c>
      <c r="F380" t="inlineStr">
        <is>
          <t>EUR</t>
        </is>
      </c>
      <c r="G380" t="n">
        <v>143100</v>
      </c>
      <c r="H380" t="inlineStr">
        <is>
          <t>2044-05-14T22:00:00Z</t>
        </is>
      </c>
      <c r="I380" t="n">
        <v>0.0534</v>
      </c>
      <c r="J380" t="n">
        <v>99.24392033542971</v>
      </c>
      <c r="K380" t="n">
        <v>91.95</v>
      </c>
      <c r="L380" t="n">
        <v>1.1144</v>
      </c>
      <c r="M380" t="n">
        <v>134565.91</v>
      </c>
      <c r="N380" t="n">
        <v>2985.46</v>
      </c>
      <c r="O380" t="n">
        <v>-7.349488322083</v>
      </c>
      <c r="P380" t="n">
        <v>-3.81027713194999</v>
      </c>
      <c r="Q380" t="n">
        <v>7.20958776118174</v>
      </c>
    </row>
    <row r="381">
      <c r="A381" t="inlineStr">
        <is>
          <t>4.625% United States Treasury Bonds 15.05.2054 Senior</t>
        </is>
      </c>
      <c r="B381" t="inlineStr">
        <is>
          <t>US912810UA42</t>
        </is>
      </c>
      <c r="C381" t="inlineStr">
        <is>
          <t>Petrassi, Raffaele</t>
        </is>
      </c>
      <c r="D381" t="n">
        <v>1656189.001</v>
      </c>
      <c r="E381" t="inlineStr">
        <is>
          <t>USD</t>
        </is>
      </c>
      <c r="F381" t="inlineStr">
        <is>
          <t>EUR</t>
        </is>
      </c>
      <c r="G381" t="n">
        <v>18900</v>
      </c>
      <c r="H381" t="inlineStr">
        <is>
          <t>2054-05-14T22:00:00Z</t>
        </is>
      </c>
      <c r="I381" t="n">
        <v>0.05342</v>
      </c>
      <c r="J381" t="n">
        <v>99.14582010582011</v>
      </c>
      <c r="K381" t="n">
        <v>89.73999999999999</v>
      </c>
      <c r="L381" t="n">
        <v>1.1144</v>
      </c>
      <c r="M381" t="n">
        <v>17355.17</v>
      </c>
      <c r="N381" t="n">
        <v>394.31</v>
      </c>
      <c r="O381" t="n">
        <v>-9.486854913077631</v>
      </c>
      <c r="P381" t="n">
        <v>-4.98786371400317</v>
      </c>
      <c r="Q381" t="n">
        <v>4.95040169836974</v>
      </c>
    </row>
    <row r="382">
      <c r="A382" t="inlineStr">
        <is>
          <t>4.625% United States Treasury Bonds 15.05.2054 Senior</t>
        </is>
      </c>
      <c r="B382" t="inlineStr">
        <is>
          <t>US912810UA42</t>
        </is>
      </c>
      <c r="C382" t="inlineStr">
        <is>
          <t>Laruffa, Sergio</t>
        </is>
      </c>
      <c r="D382" t="n">
        <v>1591822.001</v>
      </c>
      <c r="E382" t="inlineStr">
        <is>
          <t>USD</t>
        </is>
      </c>
      <c r="F382" t="inlineStr">
        <is>
          <t>USD</t>
        </is>
      </c>
      <c r="G382" t="n">
        <v>274700</v>
      </c>
      <c r="H382" t="inlineStr">
        <is>
          <t>2054-05-14T22:00:00Z</t>
        </is>
      </c>
      <c r="I382" t="n">
        <v>0.05342</v>
      </c>
      <c r="J382" t="n">
        <v>99.14275573352739</v>
      </c>
      <c r="K382" t="n">
        <v>89.73999999999999</v>
      </c>
      <c r="L382" t="n">
        <v>1</v>
      </c>
      <c r="M382" t="n">
        <v>252246.78</v>
      </c>
      <c r="N382" t="n">
        <v>5731</v>
      </c>
      <c r="O382" t="n">
        <v>-9.484057270709609</v>
      </c>
      <c r="P382" t="n">
        <v>-9.484057270709609</v>
      </c>
      <c r="Q382" t="n">
        <v>5.14988665419246</v>
      </c>
    </row>
    <row r="383">
      <c r="A383" t="inlineStr">
        <is>
          <t>4.625% United States Treasury Bonds 15.05.2054 Senior</t>
        </is>
      </c>
      <c r="B383" t="inlineStr">
        <is>
          <t>US912810UA42</t>
        </is>
      </c>
      <c r="C383" t="inlineStr">
        <is>
          <t>Bucchioni, Fabio</t>
        </is>
      </c>
      <c r="D383" t="n">
        <v>1592092.001</v>
      </c>
      <c r="E383" t="inlineStr">
        <is>
          <t>USD</t>
        </is>
      </c>
      <c r="F383" t="inlineStr">
        <is>
          <t>EUR</t>
        </is>
      </c>
      <c r="G383" t="n">
        <v>29800</v>
      </c>
      <c r="H383" t="inlineStr">
        <is>
          <t>2054-05-14T22:00:00Z</t>
        </is>
      </c>
      <c r="I383" t="n">
        <v>0.05342</v>
      </c>
      <c r="J383" t="n">
        <v>99.1298322147651</v>
      </c>
      <c r="K383" t="n">
        <v>89.73999999999999</v>
      </c>
      <c r="L383" t="n">
        <v>1.1144</v>
      </c>
      <c r="M383" t="n">
        <v>27364.23</v>
      </c>
      <c r="N383" t="n">
        <v>621.71</v>
      </c>
      <c r="O383" t="n">
        <v>-9.47225674146406</v>
      </c>
      <c r="P383" t="n">
        <v>-4.97377067487398</v>
      </c>
      <c r="Q383" t="n">
        <v>4.98130460085811</v>
      </c>
    </row>
    <row r="384">
      <c r="A384" t="inlineStr">
        <is>
          <t>4.625% United States Treasury Bonds 15.05.2054 Senior</t>
        </is>
      </c>
      <c r="B384" t="inlineStr">
        <is>
          <t>US912810UA42</t>
        </is>
      </c>
      <c r="C384" t="inlineStr">
        <is>
          <t>Alemagna, Alberto Pietro</t>
        </is>
      </c>
      <c r="D384" t="n">
        <v>1627998.001</v>
      </c>
      <c r="E384" t="inlineStr">
        <is>
          <t>USD</t>
        </is>
      </c>
      <c r="F384" t="inlineStr">
        <is>
          <t>EUR</t>
        </is>
      </c>
      <c r="G384" t="n">
        <v>168500</v>
      </c>
      <c r="H384" t="inlineStr">
        <is>
          <t>2054-05-14T22:00:00Z</t>
        </is>
      </c>
      <c r="I384" t="n">
        <v>0.05342</v>
      </c>
      <c r="J384" t="n">
        <v>99.13660534124629</v>
      </c>
      <c r="K384" t="n">
        <v>89.73999999999999</v>
      </c>
      <c r="L384" t="n">
        <v>1.1144</v>
      </c>
      <c r="M384" t="n">
        <v>154727.28</v>
      </c>
      <c r="N384" t="n">
        <v>3515.38</v>
      </c>
      <c r="O384" t="n">
        <v>-9.47844170062255</v>
      </c>
      <c r="P384" t="n">
        <v>-4.97983082134542</v>
      </c>
      <c r="Q384" t="n">
        <v>4.91366128087441</v>
      </c>
    </row>
    <row r="385">
      <c r="A385" t="inlineStr">
        <is>
          <t>4.625% United States Treasury Bonds 15.05.2054 Senior</t>
        </is>
      </c>
      <c r="B385" t="inlineStr">
        <is>
          <t>US912810UA42</t>
        </is>
      </c>
      <c r="C385" t="inlineStr">
        <is>
          <t>Simon Fiduciaria S.p.A. - POS. FID. 6297</t>
        </is>
      </c>
      <c r="D385" t="n">
        <v>1660666.001</v>
      </c>
      <c r="E385" t="inlineStr">
        <is>
          <t>USD</t>
        </is>
      </c>
      <c r="F385" t="inlineStr">
        <is>
          <t>EUR</t>
        </is>
      </c>
      <c r="G385" t="n">
        <v>220800</v>
      </c>
      <c r="H385" t="inlineStr">
        <is>
          <t>2054-05-14T22:00:00Z</t>
        </is>
      </c>
      <c r="I385" t="n">
        <v>0.05342</v>
      </c>
      <c r="J385" t="n">
        <v>99.1459510869565</v>
      </c>
      <c r="K385" t="n">
        <v>89.73999999999999</v>
      </c>
      <c r="L385" t="n">
        <v>1.1144</v>
      </c>
      <c r="M385" t="n">
        <v>202752.42</v>
      </c>
      <c r="N385" t="n">
        <v>4606.5</v>
      </c>
      <c r="O385" t="n">
        <v>-9.486974489464499</v>
      </c>
      <c r="P385" t="n">
        <v>-4.99027475065138</v>
      </c>
      <c r="Q385" t="n">
        <v>4.82966434419474</v>
      </c>
    </row>
    <row r="386">
      <c r="A386" t="inlineStr">
        <is>
          <t>4.625% United States Treasury Bonds 15.05.2054 Senior</t>
        </is>
      </c>
      <c r="B386" t="inlineStr">
        <is>
          <t>US912810UA42</t>
        </is>
      </c>
      <c r="C386" t="inlineStr">
        <is>
          <t>Marchesi, Riccardo</t>
        </is>
      </c>
      <c r="D386" t="n">
        <v>1592866.001</v>
      </c>
      <c r="E386" t="inlineStr">
        <is>
          <t>USD</t>
        </is>
      </c>
      <c r="F386" t="inlineStr">
        <is>
          <t>EUR</t>
        </is>
      </c>
      <c r="G386" t="n">
        <v>77000</v>
      </c>
      <c r="H386" t="inlineStr">
        <is>
          <t>2054-05-14T22:00:00Z</t>
        </is>
      </c>
      <c r="I386" t="n">
        <v>0.05342</v>
      </c>
      <c r="J386" t="n">
        <v>99.1586233766233</v>
      </c>
      <c r="K386" t="n">
        <v>89.73999999999999</v>
      </c>
      <c r="L386" t="n">
        <v>1.1144</v>
      </c>
      <c r="M386" t="n">
        <v>70706.23</v>
      </c>
      <c r="N386" t="n">
        <v>1606.43</v>
      </c>
      <c r="O386" t="n">
        <v>-9.498541887627511</v>
      </c>
      <c r="P386" t="n">
        <v>-5.00337830073771</v>
      </c>
      <c r="Q386" t="n">
        <v>4.96418556809765</v>
      </c>
    </row>
    <row r="387">
      <c r="A387" t="inlineStr">
        <is>
          <t>4.625% United States Treasury Bonds 15.05.2054 Senior</t>
        </is>
      </c>
      <c r="B387" t="inlineStr">
        <is>
          <t>US912810UA42</t>
        </is>
      </c>
      <c r="C387" t="inlineStr">
        <is>
          <t>Saira Holding S.r.L.</t>
        </is>
      </c>
      <c r="D387" t="n">
        <v>1690341.001</v>
      </c>
      <c r="E387" t="inlineStr">
        <is>
          <t>USD</t>
        </is>
      </c>
      <c r="F387" t="inlineStr">
        <is>
          <t>EUR</t>
        </is>
      </c>
      <c r="G387" t="n">
        <v>10500</v>
      </c>
      <c r="H387" t="inlineStr">
        <is>
          <t>2054-05-14T22:00:00Z</t>
        </is>
      </c>
      <c r="I387" t="n">
        <v>0.05342</v>
      </c>
      <c r="J387" t="n">
        <v>99.16466666666661</v>
      </c>
      <c r="K387" t="n">
        <v>89.73999999999999</v>
      </c>
      <c r="L387" t="n">
        <v>1.1144</v>
      </c>
      <c r="M387" t="n">
        <v>9641.76</v>
      </c>
      <c r="N387" t="n">
        <v>219.06</v>
      </c>
      <c r="O387" t="n">
        <v>-9.504057224683519</v>
      </c>
      <c r="P387" t="n">
        <v>-5.00551087062767</v>
      </c>
      <c r="Q387" t="n">
        <v>5.03692271148469</v>
      </c>
    </row>
    <row r="388">
      <c r="A388" t="inlineStr">
        <is>
          <t>4.625% United States Treasury Bonds 15.05.2054 Senior</t>
        </is>
      </c>
      <c r="B388" t="inlineStr">
        <is>
          <t>US912810UA42</t>
        </is>
      </c>
      <c r="C388" t="inlineStr">
        <is>
          <t>Minardi, Mario Paolo</t>
        </is>
      </c>
      <c r="D388" t="n">
        <v>1650579.001</v>
      </c>
      <c r="E388" t="inlineStr">
        <is>
          <t>USD</t>
        </is>
      </c>
      <c r="F388" t="inlineStr">
        <is>
          <t>EUR</t>
        </is>
      </c>
      <c r="G388" t="n">
        <v>34000</v>
      </c>
      <c r="H388" t="inlineStr">
        <is>
          <t>2054-05-14T22:00:00Z</t>
        </is>
      </c>
      <c r="I388" t="n">
        <v>0.05342</v>
      </c>
      <c r="J388" t="n">
        <v>99.1280294117647</v>
      </c>
      <c r="K388" t="n">
        <v>89.73999999999999</v>
      </c>
      <c r="L388" t="n">
        <v>1.1144</v>
      </c>
      <c r="M388" t="n">
        <v>31220.93</v>
      </c>
      <c r="N388" t="n">
        <v>709.33</v>
      </c>
      <c r="O388" t="n">
        <v>-9.470610348530251</v>
      </c>
      <c r="P388" t="n">
        <v>-4.97182820428361</v>
      </c>
      <c r="Q388" t="n">
        <v>4.97566913281522</v>
      </c>
    </row>
    <row r="389">
      <c r="A389" t="inlineStr">
        <is>
          <t>4.625% United States Treasury Bonds 15.05.2054 Senior</t>
        </is>
      </c>
      <c r="B389" t="inlineStr">
        <is>
          <t>US912810UA42</t>
        </is>
      </c>
      <c r="C389" t="inlineStr">
        <is>
          <t>Cariboni, Elisa</t>
        </is>
      </c>
      <c r="D389" t="n">
        <v>1600379.001</v>
      </c>
      <c r="E389" t="inlineStr">
        <is>
          <t>USD</t>
        </is>
      </c>
      <c r="F389" t="inlineStr">
        <is>
          <t>EUR</t>
        </is>
      </c>
      <c r="G389" t="n">
        <v>77500</v>
      </c>
      <c r="H389" t="inlineStr">
        <is>
          <t>2054-05-14T22:00:00Z</t>
        </is>
      </c>
      <c r="I389" t="n">
        <v>0.05342</v>
      </c>
      <c r="J389" t="n">
        <v>99.1513806451613</v>
      </c>
      <c r="K389" t="n">
        <v>89.73999999999999</v>
      </c>
      <c r="L389" t="n">
        <v>1.1144</v>
      </c>
      <c r="M389" t="n">
        <v>71165.36</v>
      </c>
      <c r="N389" t="n">
        <v>1616.86</v>
      </c>
      <c r="O389" t="n">
        <v>-9.491931008850329</v>
      </c>
      <c r="P389" t="n">
        <v>-4.99710834342254</v>
      </c>
      <c r="Q389" t="n">
        <v>4.97175693546251</v>
      </c>
    </row>
    <row r="390">
      <c r="A390" t="inlineStr">
        <is>
          <t>4.625% United States Treasury Bonds 15.05.2054 Senior</t>
        </is>
      </c>
      <c r="B390" t="inlineStr">
        <is>
          <t>US912810UA42</t>
        </is>
      </c>
      <c r="C390" t="inlineStr">
        <is>
          <t>Hera Società Fiduciaria e di revisione S.p.A. -   05250</t>
        </is>
      </c>
      <c r="D390" t="n">
        <v>1696403.001</v>
      </c>
      <c r="E390" t="inlineStr">
        <is>
          <t>USD</t>
        </is>
      </c>
      <c r="F390" t="inlineStr">
        <is>
          <t>EUR</t>
        </is>
      </c>
      <c r="G390" t="n">
        <v>47300</v>
      </c>
      <c r="H390" t="inlineStr">
        <is>
          <t>2054-05-14T22:00:00Z</t>
        </is>
      </c>
      <c r="I390" t="n">
        <v>0.05342</v>
      </c>
      <c r="J390" t="n">
        <v>98.593065539112</v>
      </c>
      <c r="K390" t="n">
        <v>89.73999999999999</v>
      </c>
      <c r="L390" t="n">
        <v>1.1144</v>
      </c>
      <c r="M390" t="n">
        <v>43433.83</v>
      </c>
      <c r="N390" t="n">
        <v>986.8099999999999</v>
      </c>
      <c r="O390" t="n">
        <v>-8.97939980941157</v>
      </c>
      <c r="P390" t="n">
        <v>-4.36404879314037</v>
      </c>
      <c r="Q390" t="n">
        <v>5.96013078006534</v>
      </c>
    </row>
    <row r="391">
      <c r="A391" t="inlineStr">
        <is>
          <t>4.625% United States Treasury Bonds 15.05.2054 Senior</t>
        </is>
      </c>
      <c r="B391" t="inlineStr">
        <is>
          <t>US912810UA42</t>
        </is>
      </c>
      <c r="C391" t="inlineStr">
        <is>
          <t>Lettieri, Riccardo</t>
        </is>
      </c>
      <c r="D391" t="n">
        <v>1660765.001</v>
      </c>
      <c r="E391" t="inlineStr">
        <is>
          <t>USD</t>
        </is>
      </c>
      <c r="F391" t="inlineStr">
        <is>
          <t>EUR</t>
        </is>
      </c>
      <c r="G391" t="n">
        <v>69200</v>
      </c>
      <c r="H391" t="inlineStr">
        <is>
          <t>2054-05-14T22:00:00Z</t>
        </is>
      </c>
      <c r="I391" t="n">
        <v>0.05342</v>
      </c>
      <c r="J391" t="n">
        <v>99.1319219653179</v>
      </c>
      <c r="K391" t="n">
        <v>89.73999999999999</v>
      </c>
      <c r="L391" t="n">
        <v>1.1144</v>
      </c>
      <c r="M391" t="n">
        <v>63543.78</v>
      </c>
      <c r="N391" t="n">
        <v>1443.7</v>
      </c>
      <c r="O391" t="n">
        <v>-9.47416511162141</v>
      </c>
      <c r="P391" t="n">
        <v>-4.97551354369278</v>
      </c>
      <c r="Q391" t="n">
        <v>6.88563598586285</v>
      </c>
    </row>
    <row r="392">
      <c r="A392" t="inlineStr">
        <is>
          <t>4.625% United States Treasury Bonds 15.05.2054 Senior</t>
        </is>
      </c>
      <c r="B392" t="inlineStr">
        <is>
          <t>US912810UA42</t>
        </is>
      </c>
      <c r="C392" t="inlineStr">
        <is>
          <t>Alemagna, Tancredi Luigi</t>
        </is>
      </c>
      <c r="D392" t="n">
        <v>1619782.001</v>
      </c>
      <c r="E392" t="inlineStr">
        <is>
          <t>USD</t>
        </is>
      </c>
      <c r="F392" t="inlineStr">
        <is>
          <t>EUR</t>
        </is>
      </c>
      <c r="G392" t="n">
        <v>167000</v>
      </c>
      <c r="H392" t="inlineStr">
        <is>
          <t>2054-05-14T22:00:00Z</t>
        </is>
      </c>
      <c r="I392" t="n">
        <v>0.05342</v>
      </c>
      <c r="J392" t="n">
        <v>99.1324371257485</v>
      </c>
      <c r="K392" t="n">
        <v>89.73999999999999</v>
      </c>
      <c r="L392" t="n">
        <v>1.1144</v>
      </c>
      <c r="M392" t="n">
        <v>153349.88</v>
      </c>
      <c r="N392" t="n">
        <v>3484.08</v>
      </c>
      <c r="O392" t="n">
        <v>-9.474635546218121</v>
      </c>
      <c r="P392" t="n">
        <v>-4.97554181633944</v>
      </c>
      <c r="Q392" t="n">
        <v>5.26490633893696</v>
      </c>
    </row>
    <row r="393">
      <c r="A393" t="inlineStr">
        <is>
          <t>4.625% United States Treasury Bonds 15.05.2054 Senior</t>
        </is>
      </c>
      <c r="B393" t="inlineStr">
        <is>
          <t>US912810UA42</t>
        </is>
      </c>
      <c r="C393" t="inlineStr">
        <is>
          <t>Terenzi, Federico</t>
        </is>
      </c>
      <c r="D393" t="n">
        <v>1620379.001</v>
      </c>
      <c r="E393" t="inlineStr">
        <is>
          <t>USD</t>
        </is>
      </c>
      <c r="F393" t="inlineStr">
        <is>
          <t>EUR</t>
        </is>
      </c>
      <c r="G393" t="n">
        <v>10200</v>
      </c>
      <c r="H393" t="inlineStr">
        <is>
          <t>2054-05-14T22:00:00Z</t>
        </is>
      </c>
      <c r="I393" t="n">
        <v>0.05342</v>
      </c>
      <c r="J393" t="n">
        <v>99.10598039215679</v>
      </c>
      <c r="K393" t="n">
        <v>89.73999999999999</v>
      </c>
      <c r="L393" t="n">
        <v>1.1144</v>
      </c>
      <c r="M393" t="n">
        <v>9366.280000000001</v>
      </c>
      <c r="N393" t="n">
        <v>212.8</v>
      </c>
      <c r="O393" t="n">
        <v>-9.45046944200158</v>
      </c>
      <c r="P393" t="n">
        <v>-4.93876884936824</v>
      </c>
      <c r="Q393" t="n">
        <v>6.88581767057052</v>
      </c>
    </row>
    <row r="394">
      <c r="A394" t="inlineStr">
        <is>
          <t>4.625% United States Treasury Bonds 15.05.2054 Senior</t>
        </is>
      </c>
      <c r="B394" t="inlineStr">
        <is>
          <t>US912810UA42</t>
        </is>
      </c>
      <c r="C394" t="inlineStr">
        <is>
          <t>Simon Fiduciaria S.p.A. - POS. FID. 6297</t>
        </is>
      </c>
      <c r="D394" t="n">
        <v>1660666.003</v>
      </c>
      <c r="E394" t="inlineStr">
        <is>
          <t>USD</t>
        </is>
      </c>
      <c r="F394" t="inlineStr">
        <is>
          <t>EUR</t>
        </is>
      </c>
      <c r="G394" t="n">
        <v>162200</v>
      </c>
      <c r="H394" t="inlineStr">
        <is>
          <t>2054-05-14T22:00:00Z</t>
        </is>
      </c>
      <c r="I394" t="n">
        <v>0.05342</v>
      </c>
      <c r="J394" t="n">
        <v>99.1477990135635</v>
      </c>
      <c r="K394" t="n">
        <v>89.73999999999999</v>
      </c>
      <c r="L394" t="n">
        <v>1.1144</v>
      </c>
      <c r="M394" t="n">
        <v>148942.22</v>
      </c>
      <c r="N394" t="n">
        <v>3383.94</v>
      </c>
      <c r="O394" t="n">
        <v>-9.488661480298219</v>
      </c>
      <c r="P394" t="n">
        <v>-4.99256150903166</v>
      </c>
      <c r="Q394" t="n">
        <v>4.99971364650759</v>
      </c>
    </row>
    <row r="395">
      <c r="A395" t="inlineStr">
        <is>
          <t>4.625% United States Treasury Bonds 15.05.2054 Senior</t>
        </is>
      </c>
      <c r="B395" t="inlineStr">
        <is>
          <t>US912810UA42</t>
        </is>
      </c>
      <c r="C395" t="inlineStr">
        <is>
          <t>Fariniundici S.p.A.</t>
        </is>
      </c>
      <c r="D395" t="n">
        <v>1644446.001</v>
      </c>
      <c r="E395" t="inlineStr">
        <is>
          <t>USD</t>
        </is>
      </c>
      <c r="F395" t="inlineStr">
        <is>
          <t>EUR</t>
        </is>
      </c>
      <c r="G395" t="n">
        <v>649100</v>
      </c>
      <c r="H395" t="inlineStr">
        <is>
          <t>2054-05-14T22:00:00Z</t>
        </is>
      </c>
      <c r="I395" t="n">
        <v>0.05342</v>
      </c>
      <c r="J395" t="n">
        <v>99.1965937451856</v>
      </c>
      <c r="K395" t="n">
        <v>89.73999999999999</v>
      </c>
      <c r="L395" t="n">
        <v>1.1144</v>
      </c>
      <c r="M395" t="n">
        <v>596044.37</v>
      </c>
      <c r="N395" t="n">
        <v>13542.03</v>
      </c>
      <c r="O395" t="n">
        <v>-9.53318394125262</v>
      </c>
      <c r="P395" t="n">
        <v>-5.03595616535859</v>
      </c>
      <c r="Q395" t="n">
        <v>4.91164941375722</v>
      </c>
    </row>
    <row r="396">
      <c r="A396" t="inlineStr">
        <is>
          <t>4.625% United States Treasury Bonds 15.05.2054 Senior</t>
        </is>
      </c>
      <c r="B396" t="inlineStr">
        <is>
          <t>US912810UA42</t>
        </is>
      </c>
      <c r="C396" t="inlineStr">
        <is>
          <t>Bertini, Marco</t>
        </is>
      </c>
      <c r="D396" t="n">
        <v>112029.001</v>
      </c>
      <c r="E396" t="inlineStr">
        <is>
          <t>USD</t>
        </is>
      </c>
      <c r="F396" t="inlineStr">
        <is>
          <t>USD</t>
        </is>
      </c>
      <c r="G396" t="n">
        <v>89600</v>
      </c>
      <c r="H396" t="inlineStr">
        <is>
          <t>2054-05-14T22:00:00Z</t>
        </is>
      </c>
      <c r="I396" t="n">
        <v>0.05342</v>
      </c>
      <c r="J396" t="n">
        <v>99.13809151785711</v>
      </c>
      <c r="K396" t="n">
        <v>89.73999999999999</v>
      </c>
      <c r="L396" t="n">
        <v>1</v>
      </c>
      <c r="M396" t="n">
        <v>82276.34</v>
      </c>
      <c r="N396" t="n">
        <v>1869.3</v>
      </c>
      <c r="O396" t="n">
        <v>-9.479798707002869</v>
      </c>
      <c r="P396" t="n">
        <v>-9.479798707002869</v>
      </c>
      <c r="Q396" t="n">
        <v>5.32288688212762</v>
      </c>
    </row>
    <row r="397">
      <c r="A397" t="inlineStr">
        <is>
          <t>4.625% United States Treasury Bonds 15.05.2054 Senior</t>
        </is>
      </c>
      <c r="B397" t="inlineStr">
        <is>
          <t>US912810UA42</t>
        </is>
      </c>
      <c r="C397" t="inlineStr">
        <is>
          <t>Ancona, Giselda</t>
        </is>
      </c>
      <c r="D397" t="n">
        <v>1648638.001</v>
      </c>
      <c r="E397" t="inlineStr">
        <is>
          <t>USD</t>
        </is>
      </c>
      <c r="F397" t="inlineStr">
        <is>
          <t>EUR</t>
        </is>
      </c>
      <c r="G397" t="n">
        <v>59800</v>
      </c>
      <c r="H397" t="inlineStr">
        <is>
          <t>2054-05-14T22:00:00Z</t>
        </is>
      </c>
      <c r="I397" t="n">
        <v>0.05342</v>
      </c>
      <c r="J397" t="n">
        <v>99.1346822742475</v>
      </c>
      <c r="K397" t="n">
        <v>89.73999999999999</v>
      </c>
      <c r="L397" t="n">
        <v>1.1144</v>
      </c>
      <c r="M397" t="n">
        <v>54912.11</v>
      </c>
      <c r="N397" t="n">
        <v>1247.59</v>
      </c>
      <c r="O397" t="n">
        <v>-9.476685715558069</v>
      </c>
      <c r="P397" t="n">
        <v>-4.97898446626464</v>
      </c>
      <c r="Q397" t="n">
        <v>5.07882713865272</v>
      </c>
    </row>
    <row r="398">
      <c r="A398" t="inlineStr">
        <is>
          <t>4.625% United States Treasury Bonds 15.05.2054 Senior</t>
        </is>
      </c>
      <c r="B398" t="inlineStr">
        <is>
          <t>US912810UA42</t>
        </is>
      </c>
      <c r="C398" t="inlineStr">
        <is>
          <t>Virlinzi, Francesco</t>
        </is>
      </c>
      <c r="D398" t="n">
        <v>1648903.001</v>
      </c>
      <c r="E398" t="inlineStr">
        <is>
          <t>USD</t>
        </is>
      </c>
      <c r="F398" t="inlineStr">
        <is>
          <t>EUR</t>
        </is>
      </c>
      <c r="G398" t="n">
        <v>558200</v>
      </c>
      <c r="H398" t="inlineStr">
        <is>
          <t>2054-05-14T22:00:00Z</t>
        </is>
      </c>
      <c r="I398" t="n">
        <v>0.05342</v>
      </c>
      <c r="J398" t="n">
        <v>99.1378161949122</v>
      </c>
      <c r="K398" t="n">
        <v>89.73999999999999</v>
      </c>
      <c r="L398" t="n">
        <v>1.1144</v>
      </c>
      <c r="M398" t="n">
        <v>512574.28</v>
      </c>
      <c r="N398" t="n">
        <v>11645.6</v>
      </c>
      <c r="O398" t="n">
        <v>-9.4795473166722</v>
      </c>
      <c r="P398" t="n">
        <v>-4.98120657379367</v>
      </c>
      <c r="Q398" t="n">
        <v>4.96276385929605</v>
      </c>
    </row>
    <row r="399">
      <c r="A399" t="inlineStr">
        <is>
          <t>4.625% United States Treasury Bonds 15.05.2054 Senior</t>
        </is>
      </c>
      <c r="B399" t="inlineStr">
        <is>
          <t>US912810UA42</t>
        </is>
      </c>
      <c r="C399" t="inlineStr">
        <is>
          <t>Malerba, Maria Clara</t>
        </is>
      </c>
      <c r="D399" t="n">
        <v>1632673.001</v>
      </c>
      <c r="E399" t="inlineStr">
        <is>
          <t>USD</t>
        </is>
      </c>
      <c r="F399" t="inlineStr">
        <is>
          <t>EUR</t>
        </is>
      </c>
      <c r="G399" t="n">
        <v>341700</v>
      </c>
      <c r="H399" t="inlineStr">
        <is>
          <t>2054-05-14T22:00:00Z</t>
        </is>
      </c>
      <c r="I399" t="n">
        <v>0.05342</v>
      </c>
      <c r="J399" t="n">
        <v>99.1217559262511</v>
      </c>
      <c r="K399" t="n">
        <v>89.73999999999999</v>
      </c>
      <c r="L399" t="n">
        <v>1.1144</v>
      </c>
      <c r="M399" t="n">
        <v>313770.39</v>
      </c>
      <c r="N399" t="n">
        <v>7128.81</v>
      </c>
      <c r="O399" t="n">
        <v>-9.464880679909809</v>
      </c>
      <c r="P399" t="n">
        <v>-4.96344201777638</v>
      </c>
      <c r="Q399" t="n">
        <v>5.35230961519949</v>
      </c>
    </row>
    <row r="400">
      <c r="A400" t="inlineStr">
        <is>
          <t>4.625% United States Treasury Bonds 15.05.2054 Senior</t>
        </is>
      </c>
      <c r="B400" t="inlineStr">
        <is>
          <t>US912810UA42</t>
        </is>
      </c>
      <c r="C400" t="inlineStr">
        <is>
          <t>Galli, Federico</t>
        </is>
      </c>
      <c r="D400" t="n">
        <v>1621661.001</v>
      </c>
      <c r="E400" t="inlineStr">
        <is>
          <t>USD</t>
        </is>
      </c>
      <c r="F400" t="inlineStr">
        <is>
          <t>EUR</t>
        </is>
      </c>
      <c r="G400" t="n">
        <v>39200</v>
      </c>
      <c r="H400" t="inlineStr">
        <is>
          <t>2054-05-14T22:00:00Z</t>
        </is>
      </c>
      <c r="I400" t="n">
        <v>0.05342</v>
      </c>
      <c r="J400" t="n">
        <v>98.4896428571428</v>
      </c>
      <c r="K400" t="n">
        <v>89.73999999999999</v>
      </c>
      <c r="L400" t="n">
        <v>1.1144</v>
      </c>
      <c r="M400" t="n">
        <v>35995.9</v>
      </c>
      <c r="N400" t="n">
        <v>817.8200000000001</v>
      </c>
      <c r="O400" t="n">
        <v>-8.88382027116702</v>
      </c>
      <c r="P400" t="n">
        <v>-4.19512331331579</v>
      </c>
      <c r="Q400" t="n">
        <v>5.87235382530724</v>
      </c>
    </row>
    <row r="401">
      <c r="A401" t="inlineStr">
        <is>
          <t>4.625% United States Treasury Bonds 15.05.2054 Senior</t>
        </is>
      </c>
      <c r="B401" t="inlineStr">
        <is>
          <t>US912810UA42</t>
        </is>
      </c>
      <c r="C401" t="inlineStr">
        <is>
          <t>BISVALLES ASSETS INC.</t>
        </is>
      </c>
      <c r="D401" t="n">
        <v>1649314.001</v>
      </c>
      <c r="E401" t="inlineStr">
        <is>
          <t>USD</t>
        </is>
      </c>
      <c r="F401" t="inlineStr">
        <is>
          <t>EUR</t>
        </is>
      </c>
      <c r="G401" t="n">
        <v>583400</v>
      </c>
      <c r="H401" t="inlineStr">
        <is>
          <t>2054-05-14T22:00:00Z</t>
        </is>
      </c>
      <c r="I401" t="n">
        <v>0.05342</v>
      </c>
      <c r="J401" t="n">
        <v>99.1875419952005</v>
      </c>
      <c r="K401" t="n">
        <v>89.73999999999999</v>
      </c>
      <c r="L401" t="n">
        <v>1.1144</v>
      </c>
      <c r="M401" t="n">
        <v>535714.5</v>
      </c>
      <c r="N401" t="n">
        <v>12171.34</v>
      </c>
      <c r="O401" t="n">
        <v>-9.52492803547616</v>
      </c>
      <c r="P401" t="n">
        <v>-5.02586267581644</v>
      </c>
      <c r="Q401" t="n">
        <v>4.96291066714959</v>
      </c>
    </row>
    <row r="402">
      <c r="A402" t="inlineStr">
        <is>
          <t>4.625% United States Treasury Bonds 15.05.2054 Senior</t>
        </is>
      </c>
      <c r="B402" t="inlineStr">
        <is>
          <t>US912810UA42</t>
        </is>
      </c>
      <c r="C402" t="inlineStr">
        <is>
          <t>Laruffa, Serena</t>
        </is>
      </c>
      <c r="D402" t="n">
        <v>1596193.001</v>
      </c>
      <c r="E402" t="inlineStr">
        <is>
          <t>USD</t>
        </is>
      </c>
      <c r="F402" t="inlineStr">
        <is>
          <t>EUR</t>
        </is>
      </c>
      <c r="G402" t="n">
        <v>203600</v>
      </c>
      <c r="H402" t="inlineStr">
        <is>
          <t>2054-05-14T22:00:00Z</t>
        </is>
      </c>
      <c r="I402" t="n">
        <v>0.05342</v>
      </c>
      <c r="J402" t="n">
        <v>99.1400540275049</v>
      </c>
      <c r="K402" t="n">
        <v>89.73999999999999</v>
      </c>
      <c r="L402" t="n">
        <v>1.1144</v>
      </c>
      <c r="M402" t="n">
        <v>186958.3</v>
      </c>
      <c r="N402" t="n">
        <v>4247.66</v>
      </c>
      <c r="O402" t="n">
        <v>-9.48159058385928</v>
      </c>
      <c r="P402" t="n">
        <v>-4.98370907542345</v>
      </c>
      <c r="Q402" t="n">
        <v>5.50820953476151</v>
      </c>
    </row>
    <row r="403">
      <c r="A403" t="inlineStr">
        <is>
          <t>4.625% United States Treasury Bonds 15.05.2054 Senior</t>
        </is>
      </c>
      <c r="B403" t="inlineStr">
        <is>
          <t>US912810UA42</t>
        </is>
      </c>
      <c r="C403" t="inlineStr">
        <is>
          <t>Hera Società Fiduciaria e di revisione S.p.A. - - 05361</t>
        </is>
      </c>
      <c r="D403" t="n">
        <v>1706128.001</v>
      </c>
      <c r="E403" t="inlineStr">
        <is>
          <t>USD</t>
        </is>
      </c>
      <c r="F403" t="inlineStr">
        <is>
          <t>EUR</t>
        </is>
      </c>
      <c r="G403" t="n">
        <v>62900</v>
      </c>
      <c r="H403" t="inlineStr">
        <is>
          <t>2054-05-14T22:00:00Z</t>
        </is>
      </c>
      <c r="I403" t="n">
        <v>0.05342</v>
      </c>
      <c r="J403" t="n">
        <v>98.9510333863275</v>
      </c>
      <c r="K403" t="n">
        <v>89.73999999999999</v>
      </c>
      <c r="L403" t="n">
        <v>1.1144</v>
      </c>
      <c r="M403" t="n">
        <v>57758.73</v>
      </c>
      <c r="N403" t="n">
        <v>1312.27</v>
      </c>
      <c r="O403" t="n">
        <v>-9.308678314015699</v>
      </c>
      <c r="P403" t="n">
        <v>-4.80163730326874</v>
      </c>
      <c r="Q403" t="n">
        <v>5.11829452609786</v>
      </c>
    </row>
    <row r="404">
      <c r="A404" t="inlineStr">
        <is>
          <t>4.625% United States Treasury Bonds 15.05.2054 Senior</t>
        </is>
      </c>
      <c r="B404" t="inlineStr">
        <is>
          <t>US912810UA42</t>
        </is>
      </c>
      <c r="C404" t="inlineStr">
        <is>
          <t>Lettieri, Umberto</t>
        </is>
      </c>
      <c r="D404" t="n">
        <v>1710712.001</v>
      </c>
      <c r="E404" t="inlineStr">
        <is>
          <t>USD</t>
        </is>
      </c>
      <c r="F404" t="inlineStr">
        <is>
          <t>USD</t>
        </is>
      </c>
      <c r="G404" t="n">
        <v>85600</v>
      </c>
      <c r="H404" t="inlineStr">
        <is>
          <t>2054-05-14T22:00:00Z</t>
        </is>
      </c>
      <c r="I404" t="n">
        <v>0.05342</v>
      </c>
      <c r="J404" t="n">
        <v>95.469953271028</v>
      </c>
      <c r="K404" t="n">
        <v>89.73999999999999</v>
      </c>
      <c r="L404" t="n">
        <v>1</v>
      </c>
      <c r="M404" t="n">
        <v>78603.28999999999</v>
      </c>
      <c r="N404" t="n">
        <v>1785.85</v>
      </c>
      <c r="O404" t="n">
        <v>-6.00183940046704</v>
      </c>
      <c r="P404" t="n">
        <v>-6.00183940046704</v>
      </c>
      <c r="Q404" t="n">
        <v>5.45545712006257</v>
      </c>
    </row>
    <row r="405">
      <c r="A405" t="inlineStr">
        <is>
          <t>4.625% United States Treasury Bonds 15.05.2054 Senior</t>
        </is>
      </c>
      <c r="B405" t="inlineStr">
        <is>
          <t>US912810UA42</t>
        </is>
      </c>
      <c r="C405" t="inlineStr">
        <is>
          <t>Laruffa, Alessia</t>
        </is>
      </c>
      <c r="D405" t="n">
        <v>1596151.001</v>
      </c>
      <c r="E405" t="inlineStr">
        <is>
          <t>USD</t>
        </is>
      </c>
      <c r="F405" t="inlineStr">
        <is>
          <t>EUR</t>
        </is>
      </c>
      <c r="G405" t="n">
        <v>165600</v>
      </c>
      <c r="H405" t="inlineStr">
        <is>
          <t>2054-05-14T22:00:00Z</t>
        </is>
      </c>
      <c r="I405" t="n">
        <v>0.05342</v>
      </c>
      <c r="J405" t="n">
        <v>99.1463647342995</v>
      </c>
      <c r="K405" t="n">
        <v>89.73999999999999</v>
      </c>
      <c r="L405" t="n">
        <v>1.1144</v>
      </c>
      <c r="M405" t="n">
        <v>152064.32</v>
      </c>
      <c r="N405" t="n">
        <v>3454.88</v>
      </c>
      <c r="O405" t="n">
        <v>-9.487352117757879</v>
      </c>
      <c r="P405" t="n">
        <v>-4.99027982767668</v>
      </c>
      <c r="Q405" t="n">
        <v>5.86888259201631</v>
      </c>
    </row>
    <row r="406">
      <c r="A406" t="inlineStr">
        <is>
          <t>4.625% United States Treasury Bonds 15.05.2054 Senior</t>
        </is>
      </c>
      <c r="B406" t="inlineStr">
        <is>
          <t>US912810UA42</t>
        </is>
      </c>
      <c r="C406" t="inlineStr">
        <is>
          <t>Siciliano, Rosanna</t>
        </is>
      </c>
      <c r="D406" t="n">
        <v>1597944.001</v>
      </c>
      <c r="E406" t="inlineStr">
        <is>
          <t>USD</t>
        </is>
      </c>
      <c r="F406" t="inlineStr">
        <is>
          <t>EUR</t>
        </is>
      </c>
      <c r="G406" t="n">
        <v>118900</v>
      </c>
      <c r="H406" t="inlineStr">
        <is>
          <t>2054-05-14T22:00:00Z</t>
        </is>
      </c>
      <c r="I406" t="n">
        <v>0.05342</v>
      </c>
      <c r="J406" t="n">
        <v>99.13861227922619</v>
      </c>
      <c r="K406" t="n">
        <v>89.73999999999999</v>
      </c>
      <c r="L406" t="n">
        <v>1.1144</v>
      </c>
      <c r="M406" t="n">
        <v>109181.44</v>
      </c>
      <c r="N406" t="n">
        <v>2480.58</v>
      </c>
      <c r="O406" t="n">
        <v>-9.480274197055349</v>
      </c>
      <c r="P406" t="n">
        <v>-4.98228085477843</v>
      </c>
      <c r="Q406" t="n">
        <v>5.84957298030487</v>
      </c>
    </row>
    <row r="407">
      <c r="A407" t="inlineStr">
        <is>
          <t>4.625% United States Treasury Bonds 15.11.2044 Senior</t>
        </is>
      </c>
      <c r="B407" t="inlineStr">
        <is>
          <t>US912810UF39</t>
        </is>
      </c>
      <c r="C407" t="inlineStr">
        <is>
          <t>Petrassi, Raffaele</t>
        </is>
      </c>
      <c r="D407" t="n">
        <v>1656189.001</v>
      </c>
      <c r="E407" t="inlineStr">
        <is>
          <t>USD</t>
        </is>
      </c>
      <c r="F407" t="inlineStr">
        <is>
          <t>EUR</t>
        </is>
      </c>
      <c r="G407" t="n">
        <v>41500</v>
      </c>
      <c r="H407" t="inlineStr">
        <is>
          <t>2044-11-14T23:00:00Z</t>
        </is>
      </c>
      <c r="I407" t="n">
        <v>0.05348</v>
      </c>
      <c r="J407" t="n">
        <v>99.1025542168674</v>
      </c>
      <c r="K407" t="n">
        <v>91.7</v>
      </c>
      <c r="L407" t="n">
        <v>1.1144</v>
      </c>
      <c r="M407" t="n">
        <v>38921.31</v>
      </c>
      <c r="N407" t="n">
        <v>865.8099999999999</v>
      </c>
      <c r="O407" t="n">
        <v>-7.46958973496117</v>
      </c>
      <c r="P407" t="n">
        <v>-3.09840953456318</v>
      </c>
      <c r="Q407" t="n">
        <v>11.1019408395949</v>
      </c>
    </row>
    <row r="408">
      <c r="A408" t="inlineStr">
        <is>
          <t>4.625% United States Treasury Bonds 15.11.2044 Senior</t>
        </is>
      </c>
      <c r="B408" t="inlineStr">
        <is>
          <t>US912810UF39</t>
        </is>
      </c>
      <c r="C408" t="inlineStr">
        <is>
          <t>Laruffa, Sergio</t>
        </is>
      </c>
      <c r="D408" t="n">
        <v>1591822.001</v>
      </c>
      <c r="E408" t="inlineStr">
        <is>
          <t>USD</t>
        </is>
      </c>
      <c r="F408" t="inlineStr">
        <is>
          <t>USD</t>
        </is>
      </c>
      <c r="G408" t="n">
        <v>604300</v>
      </c>
      <c r="H408" t="inlineStr">
        <is>
          <t>2044-11-14T23:00:00Z</t>
        </is>
      </c>
      <c r="I408" t="n">
        <v>0.05348</v>
      </c>
      <c r="J408" t="n">
        <v>99.1051762369683</v>
      </c>
      <c r="K408" t="n">
        <v>91.7</v>
      </c>
      <c r="L408" t="n">
        <v>1</v>
      </c>
      <c r="M408" t="n">
        <v>566750.47</v>
      </c>
      <c r="N408" t="n">
        <v>12607.37</v>
      </c>
      <c r="O408" t="n">
        <v>-7.47203780684676</v>
      </c>
      <c r="P408" t="n">
        <v>-7.47203780684676</v>
      </c>
      <c r="Q408" t="n">
        <v>11.5708144290694</v>
      </c>
    </row>
    <row r="409">
      <c r="A409" t="inlineStr">
        <is>
          <t>4.625% United States Treasury Bonds 15.11.2044 Senior</t>
        </is>
      </c>
      <c r="B409" t="inlineStr">
        <is>
          <t>US912810UF39</t>
        </is>
      </c>
      <c r="C409" t="inlineStr">
        <is>
          <t>Bucchioni, Fabio</t>
        </is>
      </c>
      <c r="D409" t="n">
        <v>1592092.001</v>
      </c>
      <c r="E409" t="inlineStr">
        <is>
          <t>USD</t>
        </is>
      </c>
      <c r="F409" t="inlineStr">
        <is>
          <t>EUR</t>
        </is>
      </c>
      <c r="G409" t="n">
        <v>65400</v>
      </c>
      <c r="H409" t="inlineStr">
        <is>
          <t>2044-11-14T23:00:00Z</t>
        </is>
      </c>
      <c r="I409" t="n">
        <v>0.05348</v>
      </c>
      <c r="J409" t="n">
        <v>99.1036391437308</v>
      </c>
      <c r="K409" t="n">
        <v>91.7</v>
      </c>
      <c r="L409" t="n">
        <v>1.1144</v>
      </c>
      <c r="M409" t="n">
        <v>61336.23</v>
      </c>
      <c r="N409" t="n">
        <v>1364.43</v>
      </c>
      <c r="O409" t="n">
        <v>-7.47060270207971</v>
      </c>
      <c r="P409" t="n">
        <v>-3.10132990537769</v>
      </c>
      <c r="Q409" t="n">
        <v>11.1654670175806</v>
      </c>
    </row>
    <row r="410">
      <c r="A410" t="inlineStr">
        <is>
          <t>4.625% United States Treasury Bonds 15.11.2044 Senior</t>
        </is>
      </c>
      <c r="B410" t="inlineStr">
        <is>
          <t>US912810UF39</t>
        </is>
      </c>
      <c r="C410" t="inlineStr">
        <is>
          <t>Alemagna, Alberto Pietro</t>
        </is>
      </c>
      <c r="D410" t="n">
        <v>1627998.001</v>
      </c>
      <c r="E410" t="inlineStr">
        <is>
          <t>USD</t>
        </is>
      </c>
      <c r="F410" t="inlineStr">
        <is>
          <t>EUR</t>
        </is>
      </c>
      <c r="G410" t="n">
        <v>370900</v>
      </c>
      <c r="H410" t="inlineStr">
        <is>
          <t>2044-11-14T23:00:00Z</t>
        </is>
      </c>
      <c r="I410" t="n">
        <v>0.05348</v>
      </c>
      <c r="J410" t="n">
        <v>99.0907036937179</v>
      </c>
      <c r="K410" t="n">
        <v>91.7</v>
      </c>
      <c r="L410" t="n">
        <v>1.1144</v>
      </c>
      <c r="M410" t="n">
        <v>347853.3</v>
      </c>
      <c r="N410" t="n">
        <v>7738</v>
      </c>
      <c r="O410" t="n">
        <v>-7.45852377490637</v>
      </c>
      <c r="P410" t="n">
        <v>-3.08982315973835</v>
      </c>
      <c r="Q410" t="n">
        <v>11.0467476036037</v>
      </c>
    </row>
    <row r="411">
      <c r="A411" t="inlineStr">
        <is>
          <t>4.625% United States Treasury Bonds 15.11.2044 Senior</t>
        </is>
      </c>
      <c r="B411" t="inlineStr">
        <is>
          <t>US912810UF39</t>
        </is>
      </c>
      <c r="C411" t="inlineStr">
        <is>
          <t>Simon Fiduciaria S.p.A. - POS. FID. 6297</t>
        </is>
      </c>
      <c r="D411" t="n">
        <v>1660666.001</v>
      </c>
      <c r="E411" t="inlineStr">
        <is>
          <t>USD</t>
        </is>
      </c>
      <c r="F411" t="inlineStr">
        <is>
          <t>EUR</t>
        </is>
      </c>
      <c r="G411" t="n">
        <v>486300</v>
      </c>
      <c r="H411" t="inlineStr">
        <is>
          <t>2044-11-14T23:00:00Z</t>
        </is>
      </c>
      <c r="I411" t="n">
        <v>0.05348</v>
      </c>
      <c r="J411" t="n">
        <v>99.09568784700799</v>
      </c>
      <c r="K411" t="n">
        <v>91.7</v>
      </c>
      <c r="L411" t="n">
        <v>1.1144</v>
      </c>
      <c r="M411" t="n">
        <v>456082.67</v>
      </c>
      <c r="N411" t="n">
        <v>10145.57</v>
      </c>
      <c r="O411" t="n">
        <v>-7.46317827514965</v>
      </c>
      <c r="P411" t="n">
        <v>-3.09617430138785</v>
      </c>
      <c r="Q411" t="n">
        <v>10.8641176543732</v>
      </c>
    </row>
    <row r="412">
      <c r="A412" t="inlineStr">
        <is>
          <t>4.625% United States Treasury Bonds 15.11.2044 Senior</t>
        </is>
      </c>
      <c r="B412" t="inlineStr">
        <is>
          <t>US912810UF39</t>
        </is>
      </c>
      <c r="C412" t="inlineStr">
        <is>
          <t>Marchesi, Riccardo</t>
        </is>
      </c>
      <c r="D412" t="n">
        <v>1592866.001</v>
      </c>
      <c r="E412" t="inlineStr">
        <is>
          <t>USD</t>
        </is>
      </c>
      <c r="F412" t="inlineStr">
        <is>
          <t>EUR</t>
        </is>
      </c>
      <c r="G412" t="n">
        <v>169200</v>
      </c>
      <c r="H412" t="inlineStr">
        <is>
          <t>2044-11-14T23:00:00Z</t>
        </is>
      </c>
      <c r="I412" t="n">
        <v>0.05348</v>
      </c>
      <c r="J412" t="n">
        <v>99.0943498817966</v>
      </c>
      <c r="K412" t="n">
        <v>91.7</v>
      </c>
      <c r="L412" t="n">
        <v>1.1144</v>
      </c>
      <c r="M412" t="n">
        <v>158686.38</v>
      </c>
      <c r="N412" t="n">
        <v>3529.98</v>
      </c>
      <c r="O412" t="n">
        <v>-7.46192884924008</v>
      </c>
      <c r="P412" t="n">
        <v>-3.09209497792718</v>
      </c>
      <c r="Q412" t="n">
        <v>11.1411489067572</v>
      </c>
    </row>
    <row r="413">
      <c r="A413" t="inlineStr">
        <is>
          <t>4.625% United States Treasury Bonds 15.11.2044 Senior</t>
        </is>
      </c>
      <c r="B413" t="inlineStr">
        <is>
          <t>US912810UF39</t>
        </is>
      </c>
      <c r="C413" t="inlineStr">
        <is>
          <t>Saira Holding S.r.L.</t>
        </is>
      </c>
      <c r="D413" t="n">
        <v>1690341.001</v>
      </c>
      <c r="E413" t="inlineStr">
        <is>
          <t>USD</t>
        </is>
      </c>
      <c r="F413" t="inlineStr">
        <is>
          <t>EUR</t>
        </is>
      </c>
      <c r="G413" t="n">
        <v>21900</v>
      </c>
      <c r="H413" t="inlineStr">
        <is>
          <t>2044-11-14T23:00:00Z</t>
        </is>
      </c>
      <c r="I413" t="n">
        <v>0.05348</v>
      </c>
      <c r="J413" t="n">
        <v>99.0869406392694</v>
      </c>
      <c r="K413" t="n">
        <v>91.7</v>
      </c>
      <c r="L413" t="n">
        <v>1.1144</v>
      </c>
      <c r="M413" t="n">
        <v>20539.19</v>
      </c>
      <c r="N413" t="n">
        <v>456.89</v>
      </c>
      <c r="O413" t="n">
        <v>-7.45500929952202</v>
      </c>
      <c r="P413" t="n">
        <v>-3.0859732351788</v>
      </c>
      <c r="Q413" t="n">
        <v>10.7298144782207</v>
      </c>
    </row>
    <row r="414">
      <c r="A414" t="inlineStr">
        <is>
          <t>4.625% United States Treasury Bonds 15.11.2044 Senior</t>
        </is>
      </c>
      <c r="B414" t="inlineStr">
        <is>
          <t>US912810UF39</t>
        </is>
      </c>
      <c r="C414" t="inlineStr">
        <is>
          <t>Minardi, Mario Paolo</t>
        </is>
      </c>
      <c r="D414" t="n">
        <v>1650579.001</v>
      </c>
      <c r="E414" t="inlineStr">
        <is>
          <t>USD</t>
        </is>
      </c>
      <c r="F414" t="inlineStr">
        <is>
          <t>EUR</t>
        </is>
      </c>
      <c r="G414" t="n">
        <v>74600</v>
      </c>
      <c r="H414" t="inlineStr">
        <is>
          <t>2044-11-14T23:00:00Z</t>
        </is>
      </c>
      <c r="I414" t="n">
        <v>0.05348</v>
      </c>
      <c r="J414" t="n">
        <v>99.1053619302949</v>
      </c>
      <c r="K414" t="n">
        <v>91.7</v>
      </c>
      <c r="L414" t="n">
        <v>1.1144</v>
      </c>
      <c r="M414" t="n">
        <v>69964.56</v>
      </c>
      <c r="N414" t="n">
        <v>1556.36</v>
      </c>
      <c r="O414" t="n">
        <v>-7.47221117612528</v>
      </c>
      <c r="P414" t="n">
        <v>-3.10275806329401</v>
      </c>
      <c r="Q414" t="n">
        <v>11.1502264429601</v>
      </c>
    </row>
    <row r="415">
      <c r="A415" t="inlineStr">
        <is>
          <t>4.625% United States Treasury Bonds 15.11.2044 Senior</t>
        </is>
      </c>
      <c r="B415" t="inlineStr">
        <is>
          <t>US912810UF39</t>
        </is>
      </c>
      <c r="C415" t="inlineStr">
        <is>
          <t>Cariboni, Elisa</t>
        </is>
      </c>
      <c r="D415" t="n">
        <v>1600379.001</v>
      </c>
      <c r="E415" t="inlineStr">
        <is>
          <t>USD</t>
        </is>
      </c>
      <c r="F415" t="inlineStr">
        <is>
          <t>EUR</t>
        </is>
      </c>
      <c r="G415" t="n">
        <v>170300</v>
      </c>
      <c r="H415" t="inlineStr">
        <is>
          <t>2044-11-14T23:00:00Z</t>
        </is>
      </c>
      <c r="I415" t="n">
        <v>0.05348</v>
      </c>
      <c r="J415" t="n">
        <v>99.09348209042859</v>
      </c>
      <c r="K415" t="n">
        <v>91.7</v>
      </c>
      <c r="L415" t="n">
        <v>1.1144</v>
      </c>
      <c r="M415" t="n">
        <v>159718.03</v>
      </c>
      <c r="N415" t="n">
        <v>3552.93</v>
      </c>
      <c r="O415" t="n">
        <v>-7.46111846557341</v>
      </c>
      <c r="P415" t="n">
        <v>-3.09170636905052</v>
      </c>
      <c r="Q415" t="n">
        <v>11.1582263124389</v>
      </c>
    </row>
    <row r="416">
      <c r="A416" t="inlineStr">
        <is>
          <t>4.625% United States Treasury Bonds 15.11.2044 Senior</t>
        </is>
      </c>
      <c r="B416" t="inlineStr">
        <is>
          <t>US912810UF39</t>
        </is>
      </c>
      <c r="C416" t="inlineStr">
        <is>
          <t>Hera Società Fiduciaria e di revisione S.p.A. -   05250</t>
        </is>
      </c>
      <c r="D416" t="n">
        <v>1696403.001</v>
      </c>
      <c r="E416" t="inlineStr">
        <is>
          <t>USD</t>
        </is>
      </c>
      <c r="F416" t="inlineStr">
        <is>
          <t>EUR</t>
        </is>
      </c>
      <c r="G416" t="n">
        <v>85500</v>
      </c>
      <c r="H416" t="inlineStr">
        <is>
          <t>2044-11-14T23:00:00Z</t>
        </is>
      </c>
      <c r="I416" t="n">
        <v>0.05348</v>
      </c>
      <c r="J416" t="n">
        <v>99.1349707602339</v>
      </c>
      <c r="K416" t="n">
        <v>91.7</v>
      </c>
      <c r="L416" t="n">
        <v>1.1144</v>
      </c>
      <c r="M416" t="n">
        <v>80187.27</v>
      </c>
      <c r="N416" t="n">
        <v>1783.77</v>
      </c>
      <c r="O416" t="n">
        <v>-7.49984662649067</v>
      </c>
      <c r="P416" t="n">
        <v>-3.12915836828933</v>
      </c>
      <c r="Q416" t="n">
        <v>11.0035565774385</v>
      </c>
    </row>
    <row r="417">
      <c r="A417" t="inlineStr">
        <is>
          <t>4.625% United States Treasury Bonds 15.11.2044 Senior</t>
        </is>
      </c>
      <c r="B417" t="inlineStr">
        <is>
          <t>US912810UF39</t>
        </is>
      </c>
      <c r="C417" t="inlineStr">
        <is>
          <t>Lettieri, Riccardo</t>
        </is>
      </c>
      <c r="D417" t="n">
        <v>1660765.001</v>
      </c>
      <c r="E417" t="inlineStr">
        <is>
          <t>USD</t>
        </is>
      </c>
      <c r="F417" t="inlineStr">
        <is>
          <t>EUR</t>
        </is>
      </c>
      <c r="G417" t="n">
        <v>121300</v>
      </c>
      <c r="H417" t="inlineStr">
        <is>
          <t>2044-11-14T23:00:00Z</t>
        </is>
      </c>
      <c r="I417" t="n">
        <v>0.05348</v>
      </c>
      <c r="J417" t="n">
        <v>99.09338829348719</v>
      </c>
      <c r="K417" t="n">
        <v>91.7</v>
      </c>
      <c r="L417" t="n">
        <v>1.1144</v>
      </c>
      <c r="M417" t="n">
        <v>113762.75</v>
      </c>
      <c r="N417" t="n">
        <v>2530.65</v>
      </c>
      <c r="O417" t="n">
        <v>-7.46103087280661</v>
      </c>
      <c r="P417" t="n">
        <v>-3.08977385357729</v>
      </c>
      <c r="Q417" t="n">
        <v>12.3273888842717</v>
      </c>
    </row>
    <row r="418">
      <c r="A418" t="inlineStr">
        <is>
          <t>4.625% United States Treasury Bonds 15.11.2044 Senior</t>
        </is>
      </c>
      <c r="B418" t="inlineStr">
        <is>
          <t>US912810UF39</t>
        </is>
      </c>
      <c r="C418" t="inlineStr">
        <is>
          <t>Alemagna, Tancredi Luigi</t>
        </is>
      </c>
      <c r="D418" t="n">
        <v>1619782.001</v>
      </c>
      <c r="E418" t="inlineStr">
        <is>
          <t>USD</t>
        </is>
      </c>
      <c r="F418" t="inlineStr">
        <is>
          <t>EUR</t>
        </is>
      </c>
      <c r="G418" t="n">
        <v>366900</v>
      </c>
      <c r="H418" t="inlineStr">
        <is>
          <t>2044-11-14T23:00:00Z</t>
        </is>
      </c>
      <c r="I418" t="n">
        <v>0.05348</v>
      </c>
      <c r="J418" t="n">
        <v>99.0976560370673</v>
      </c>
      <c r="K418" t="n">
        <v>91.7</v>
      </c>
      <c r="L418" t="n">
        <v>1.1144</v>
      </c>
      <c r="M418" t="n">
        <v>344101.85</v>
      </c>
      <c r="N418" t="n">
        <v>7654.55</v>
      </c>
      <c r="O418" t="n">
        <v>-7.46501615971647</v>
      </c>
      <c r="P418" t="n">
        <v>-3.09565205110143</v>
      </c>
      <c r="Q418" t="n">
        <v>11.8139255458562</v>
      </c>
    </row>
    <row r="419">
      <c r="A419" t="inlineStr">
        <is>
          <t>4.625% United States Treasury Bonds 15.11.2044 Senior</t>
        </is>
      </c>
      <c r="B419" t="inlineStr">
        <is>
          <t>US912810UF39</t>
        </is>
      </c>
      <c r="C419" t="inlineStr">
        <is>
          <t>Terenzi, Federico</t>
        </is>
      </c>
      <c r="D419" t="n">
        <v>1620379.001</v>
      </c>
      <c r="E419" t="inlineStr">
        <is>
          <t>USD</t>
        </is>
      </c>
      <c r="F419" t="inlineStr">
        <is>
          <t>EUR</t>
        </is>
      </c>
      <c r="G419" t="n">
        <v>22300</v>
      </c>
      <c r="H419" t="inlineStr">
        <is>
          <t>2044-11-14T23:00:00Z</t>
        </is>
      </c>
      <c r="I419" t="n">
        <v>0.05348</v>
      </c>
      <c r="J419" t="n">
        <v>99.11121076233179</v>
      </c>
      <c r="K419" t="n">
        <v>91.7</v>
      </c>
      <c r="L419" t="n">
        <v>1.1144</v>
      </c>
      <c r="M419" t="n">
        <v>20914.34</v>
      </c>
      <c r="N419" t="n">
        <v>465.24</v>
      </c>
      <c r="O419" t="n">
        <v>-7.47767150186862</v>
      </c>
      <c r="P419" t="n">
        <v>-3.07813958352811</v>
      </c>
      <c r="Q419" t="n">
        <v>15.3756093084761</v>
      </c>
    </row>
    <row r="420">
      <c r="A420" t="inlineStr">
        <is>
          <t>4.625% United States Treasury Bonds 15.11.2044 Senior</t>
        </is>
      </c>
      <c r="B420" t="inlineStr">
        <is>
          <t>US912810UF39</t>
        </is>
      </c>
      <c r="C420" t="inlineStr">
        <is>
          <t>Simon Fiduciaria S.p.A. - POS. FID. 6297</t>
        </is>
      </c>
      <c r="D420" t="n">
        <v>1660666.003</v>
      </c>
      <c r="E420" t="inlineStr">
        <is>
          <t>USD</t>
        </is>
      </c>
      <c r="F420" t="inlineStr">
        <is>
          <t>EUR</t>
        </is>
      </c>
      <c r="G420" t="n">
        <v>356700</v>
      </c>
      <c r="H420" t="inlineStr">
        <is>
          <t>2044-11-14T23:00:00Z</t>
        </is>
      </c>
      <c r="I420" t="n">
        <v>0.05348</v>
      </c>
      <c r="J420" t="n">
        <v>99.09188393608071</v>
      </c>
      <c r="K420" t="n">
        <v>91.7</v>
      </c>
      <c r="L420" t="n">
        <v>1.1144</v>
      </c>
      <c r="M420" t="n">
        <v>334535.65</v>
      </c>
      <c r="N420" t="n">
        <v>7441.75</v>
      </c>
      <c r="O420" t="n">
        <v>-7.45962599807758</v>
      </c>
      <c r="P420" t="n">
        <v>-3.0911325080311</v>
      </c>
      <c r="Q420" t="n">
        <v>11.2297394896998</v>
      </c>
    </row>
    <row r="421">
      <c r="A421" t="inlineStr">
        <is>
          <t>4.625% United States Treasury Bonds 15.11.2044 Senior</t>
        </is>
      </c>
      <c r="B421" t="inlineStr">
        <is>
          <t>US912810UF39</t>
        </is>
      </c>
      <c r="C421" t="inlineStr">
        <is>
          <t>Fariniundici S.p.A.</t>
        </is>
      </c>
      <c r="D421" t="n">
        <v>1644446.001</v>
      </c>
      <c r="E421" t="inlineStr">
        <is>
          <t>USD</t>
        </is>
      </c>
      <c r="F421" t="inlineStr">
        <is>
          <t>EUR</t>
        </is>
      </c>
      <c r="G421" t="n">
        <v>1428200</v>
      </c>
      <c r="H421" t="inlineStr">
        <is>
          <t>2044-11-14T23:00:00Z</t>
        </is>
      </c>
      <c r="I421" t="n">
        <v>0.05348</v>
      </c>
      <c r="J421" t="n">
        <v>99.13370886430469</v>
      </c>
      <c r="K421" t="n">
        <v>91.7</v>
      </c>
      <c r="L421" t="n">
        <v>1.1144</v>
      </c>
      <c r="M421" t="n">
        <v>1339455.61</v>
      </c>
      <c r="N421" t="n">
        <v>29796.21</v>
      </c>
      <c r="O421" t="n">
        <v>-7.49866917062495</v>
      </c>
      <c r="P421" t="n">
        <v>-3.13202560710778</v>
      </c>
      <c r="Q421" t="n">
        <v>11.0376621315541</v>
      </c>
    </row>
    <row r="422">
      <c r="A422" t="inlineStr">
        <is>
          <t>4.625% United States Treasury Bonds 15.11.2044 Senior</t>
        </is>
      </c>
      <c r="B422" t="inlineStr">
        <is>
          <t>US912810UF39</t>
        </is>
      </c>
      <c r="C422" t="inlineStr">
        <is>
          <t>Bertini, Marco</t>
        </is>
      </c>
      <c r="D422" t="n">
        <v>112029.001</v>
      </c>
      <c r="E422" t="inlineStr">
        <is>
          <t>USD</t>
        </is>
      </c>
      <c r="F422" t="inlineStr">
        <is>
          <t>USD</t>
        </is>
      </c>
      <c r="G422" t="n">
        <v>194800</v>
      </c>
      <c r="H422" t="inlineStr">
        <is>
          <t>2044-11-14T23:00:00Z</t>
        </is>
      </c>
      <c r="I422" t="n">
        <v>0.05348</v>
      </c>
      <c r="J422" t="n">
        <v>99.036319301848</v>
      </c>
      <c r="K422" t="n">
        <v>91.7</v>
      </c>
      <c r="L422" t="n">
        <v>1</v>
      </c>
      <c r="M422" t="n">
        <v>182695.67</v>
      </c>
      <c r="N422" t="n">
        <v>4064.07</v>
      </c>
      <c r="O422" t="n">
        <v>-7.40770593411093</v>
      </c>
      <c r="P422" t="n">
        <v>-7.40770593411093</v>
      </c>
      <c r="Q422" t="n">
        <v>11.8195387065651</v>
      </c>
    </row>
    <row r="423">
      <c r="A423" t="inlineStr">
        <is>
          <t>4.625% United States Treasury Bonds 15.11.2044 Senior</t>
        </is>
      </c>
      <c r="B423" t="inlineStr">
        <is>
          <t>US912810UF39</t>
        </is>
      </c>
      <c r="C423" t="inlineStr">
        <is>
          <t>Ancona, Giselda</t>
        </is>
      </c>
      <c r="D423" t="n">
        <v>1648638.001</v>
      </c>
      <c r="E423" t="inlineStr">
        <is>
          <t>USD</t>
        </is>
      </c>
      <c r="F423" t="inlineStr">
        <is>
          <t>EUR</t>
        </is>
      </c>
      <c r="G423" t="n">
        <v>131300</v>
      </c>
      <c r="H423" t="inlineStr">
        <is>
          <t>2044-11-14T23:00:00Z</t>
        </is>
      </c>
      <c r="I423" t="n">
        <v>0.05348</v>
      </c>
      <c r="J423" t="n">
        <v>99.09885757806551</v>
      </c>
      <c r="K423" t="n">
        <v>91.7</v>
      </c>
      <c r="L423" t="n">
        <v>1.1144</v>
      </c>
      <c r="M423" t="n">
        <v>123141.38</v>
      </c>
      <c r="N423" t="n">
        <v>2739.28</v>
      </c>
      <c r="O423" t="n">
        <v>-7.46613811590816</v>
      </c>
      <c r="P423" t="n">
        <v>-3.09632587280567</v>
      </c>
      <c r="Q423" t="n">
        <v>11.3893613994158</v>
      </c>
    </row>
    <row r="424">
      <c r="A424" t="inlineStr">
        <is>
          <t>4.625% United States Treasury Bonds 15.11.2044 Senior</t>
        </is>
      </c>
      <c r="B424" t="inlineStr">
        <is>
          <t>US912810UF39</t>
        </is>
      </c>
      <c r="C424" t="inlineStr">
        <is>
          <t>Virlinzi, Francesco</t>
        </is>
      </c>
      <c r="D424" t="n">
        <v>1648903.001</v>
      </c>
      <c r="E424" t="inlineStr">
        <is>
          <t>USD</t>
        </is>
      </c>
      <c r="F424" t="inlineStr">
        <is>
          <t>EUR</t>
        </is>
      </c>
      <c r="G424" t="n">
        <v>1227300</v>
      </c>
      <c r="H424" t="inlineStr">
        <is>
          <t>2044-11-14T23:00:00Z</t>
        </is>
      </c>
      <c r="I424" t="n">
        <v>0.05348</v>
      </c>
      <c r="J424" t="n">
        <v>99.097229691192</v>
      </c>
      <c r="K424" t="n">
        <v>91.7</v>
      </c>
      <c r="L424" t="n">
        <v>1.1144</v>
      </c>
      <c r="M424" t="n">
        <v>1151038.98</v>
      </c>
      <c r="N424" t="n">
        <v>25604.88</v>
      </c>
      <c r="O424" t="n">
        <v>-7.46461804658251</v>
      </c>
      <c r="P424" t="n">
        <v>-3.09567608666145</v>
      </c>
      <c r="Q424" t="n">
        <v>11.1444037864278</v>
      </c>
    </row>
    <row r="425">
      <c r="A425" t="inlineStr">
        <is>
          <t>4.625% United States Treasury Bonds 15.11.2044 Senior</t>
        </is>
      </c>
      <c r="B425" t="inlineStr">
        <is>
          <t>US912810UF39</t>
        </is>
      </c>
      <c r="C425" t="inlineStr">
        <is>
          <t>Malerba, Maria Clara</t>
        </is>
      </c>
      <c r="D425" t="n">
        <v>1632673.001</v>
      </c>
      <c r="E425" t="inlineStr">
        <is>
          <t>USD</t>
        </is>
      </c>
      <c r="F425" t="inlineStr">
        <is>
          <t>EUR</t>
        </is>
      </c>
      <c r="G425" t="n">
        <v>724100</v>
      </c>
      <c r="H425" t="inlineStr">
        <is>
          <t>2044-11-14T23:00:00Z</t>
        </is>
      </c>
      <c r="I425" t="n">
        <v>0.05348</v>
      </c>
      <c r="J425" t="n">
        <v>99.10335727109511</v>
      </c>
      <c r="K425" t="n">
        <v>91.7</v>
      </c>
      <c r="L425" t="n">
        <v>1.1144</v>
      </c>
      <c r="M425" t="n">
        <v>679106.4300000001</v>
      </c>
      <c r="N425" t="n">
        <v>15106.73</v>
      </c>
      <c r="O425" t="n">
        <v>-7.47033952729111</v>
      </c>
      <c r="P425" t="n">
        <v>-3.07867346574591</v>
      </c>
      <c r="Q425" t="n">
        <v>11.5842282494941</v>
      </c>
    </row>
    <row r="426">
      <c r="A426" t="inlineStr">
        <is>
          <t>4.625% United States Treasury Bonds 15.11.2044 Senior</t>
        </is>
      </c>
      <c r="B426" t="inlineStr">
        <is>
          <t>US912810UF39</t>
        </is>
      </c>
      <c r="C426" t="inlineStr">
        <is>
          <t>Galli, Federico</t>
        </is>
      </c>
      <c r="D426" t="n">
        <v>1621661.001</v>
      </c>
      <c r="E426" t="inlineStr">
        <is>
          <t>USD</t>
        </is>
      </c>
      <c r="F426" t="inlineStr">
        <is>
          <t>EUR</t>
        </is>
      </c>
      <c r="G426" t="n">
        <v>70300</v>
      </c>
      <c r="H426" t="inlineStr">
        <is>
          <t>2044-11-14T23:00:00Z</t>
        </is>
      </c>
      <c r="I426" t="n">
        <v>0.05348</v>
      </c>
      <c r="J426" t="n">
        <v>99.09376955903269</v>
      </c>
      <c r="K426" t="n">
        <v>91.7</v>
      </c>
      <c r="L426" t="n">
        <v>1.1144</v>
      </c>
      <c r="M426" t="n">
        <v>65931.75</v>
      </c>
      <c r="N426" t="n">
        <v>1466.65</v>
      </c>
      <c r="O426" t="n">
        <v>-7.46138691860748</v>
      </c>
      <c r="P426" t="n">
        <v>-3.09194101723787</v>
      </c>
      <c r="Q426" t="n">
        <v>10.7560727683154</v>
      </c>
    </row>
    <row r="427">
      <c r="A427" t="inlineStr">
        <is>
          <t>4.625% United States Treasury Bonds 15.11.2044 Senior</t>
        </is>
      </c>
      <c r="B427" t="inlineStr">
        <is>
          <t>US912810UF39</t>
        </is>
      </c>
      <c r="C427" t="inlineStr">
        <is>
          <t>BISVALLES ASSETS INC.</t>
        </is>
      </c>
      <c r="D427" t="n">
        <v>1649314.001</v>
      </c>
      <c r="E427" t="inlineStr">
        <is>
          <t>USD</t>
        </is>
      </c>
      <c r="F427" t="inlineStr">
        <is>
          <t>EUR</t>
        </is>
      </c>
      <c r="G427" t="n">
        <v>1283400</v>
      </c>
      <c r="H427" t="inlineStr">
        <is>
          <t>2044-11-14T23:00:00Z</t>
        </is>
      </c>
      <c r="I427" t="n">
        <v>0.05348</v>
      </c>
      <c r="J427" t="n">
        <v>99.1178136200716</v>
      </c>
      <c r="K427" t="n">
        <v>91.7</v>
      </c>
      <c r="L427" t="n">
        <v>1.1144</v>
      </c>
      <c r="M427" t="n">
        <v>1203653.08</v>
      </c>
      <c r="N427" t="n">
        <v>26775.28</v>
      </c>
      <c r="O427" t="n">
        <v>-7.48383499307691</v>
      </c>
      <c r="P427" t="n">
        <v>-3.11549289044974</v>
      </c>
      <c r="Q427" t="n">
        <v>11.1507580577844</v>
      </c>
    </row>
    <row r="428">
      <c r="A428" t="inlineStr">
        <is>
          <t>4.625% United States Treasury Bonds 15.11.2044 Senior</t>
        </is>
      </c>
      <c r="B428" t="inlineStr">
        <is>
          <t>US912810UF39</t>
        </is>
      </c>
      <c r="C428" t="inlineStr">
        <is>
          <t>Laruffa, Serena</t>
        </is>
      </c>
      <c r="D428" t="n">
        <v>1596193.001</v>
      </c>
      <c r="E428" t="inlineStr">
        <is>
          <t>USD</t>
        </is>
      </c>
      <c r="F428" t="inlineStr">
        <is>
          <t>EUR</t>
        </is>
      </c>
      <c r="G428" t="n">
        <v>447900</v>
      </c>
      <c r="H428" t="inlineStr">
        <is>
          <t>2044-11-14T23:00:00Z</t>
        </is>
      </c>
      <c r="I428" t="n">
        <v>0.05348</v>
      </c>
      <c r="J428" t="n">
        <v>99.0964746595222</v>
      </c>
      <c r="K428" t="n">
        <v>91.7</v>
      </c>
      <c r="L428" t="n">
        <v>1.1144</v>
      </c>
      <c r="M428" t="n">
        <v>420068.74</v>
      </c>
      <c r="N428" t="n">
        <v>9344.440000000001</v>
      </c>
      <c r="O428" t="n">
        <v>-7.46391300491281</v>
      </c>
      <c r="P428" t="n">
        <v>-3.09529962891343</v>
      </c>
      <c r="Q428" t="n">
        <v>12.3761645583115</v>
      </c>
    </row>
    <row r="429">
      <c r="A429" t="inlineStr">
        <is>
          <t>4.625% United States Treasury Bonds 15.11.2044 Senior</t>
        </is>
      </c>
      <c r="B429" t="inlineStr">
        <is>
          <t>US912810UF39</t>
        </is>
      </c>
      <c r="C429" t="inlineStr">
        <is>
          <t>Hera Società Fiduciaria e di revisione S.p.A. - - 05361</t>
        </is>
      </c>
      <c r="D429" t="n">
        <v>1706128.001</v>
      </c>
      <c r="E429" t="inlineStr">
        <is>
          <t>USD</t>
        </is>
      </c>
      <c r="F429" t="inlineStr">
        <is>
          <t>EUR</t>
        </is>
      </c>
      <c r="G429" t="n">
        <v>138000</v>
      </c>
      <c r="H429" t="inlineStr">
        <is>
          <t>2044-11-14T23:00:00Z</t>
        </is>
      </c>
      <c r="I429" t="n">
        <v>0.05348</v>
      </c>
      <c r="J429" t="n">
        <v>99.0893260869565</v>
      </c>
      <c r="K429" t="n">
        <v>91.7</v>
      </c>
      <c r="L429" t="n">
        <v>1.1144</v>
      </c>
      <c r="M429" t="n">
        <v>129425.06</v>
      </c>
      <c r="N429" t="n">
        <v>2879.06</v>
      </c>
      <c r="O429" t="n">
        <v>-7.45723720077777</v>
      </c>
      <c r="P429" t="n">
        <v>-3.08837487333509</v>
      </c>
      <c r="Q429" t="n">
        <v>11.4690118508976</v>
      </c>
    </row>
    <row r="430">
      <c r="A430" t="inlineStr">
        <is>
          <t>4.625% United States Treasury Bonds 15.11.2044 Senior</t>
        </is>
      </c>
      <c r="B430" t="inlineStr">
        <is>
          <t>US912810UF39</t>
        </is>
      </c>
      <c r="C430" t="inlineStr">
        <is>
          <t>Lettieri, Umberto</t>
        </is>
      </c>
      <c r="D430" t="n">
        <v>1710712.001</v>
      </c>
      <c r="E430" t="inlineStr">
        <is>
          <t>USD</t>
        </is>
      </c>
      <c r="F430" t="inlineStr">
        <is>
          <t>USD</t>
        </is>
      </c>
      <c r="G430" t="n">
        <v>119200</v>
      </c>
      <c r="H430" t="inlineStr">
        <is>
          <t>2044-11-14T23:00:00Z</t>
        </is>
      </c>
      <c r="I430" t="n">
        <v>0.05348</v>
      </c>
      <c r="J430" t="n">
        <v>95.96158557046979</v>
      </c>
      <c r="K430" t="n">
        <v>91.7</v>
      </c>
      <c r="L430" t="n">
        <v>1</v>
      </c>
      <c r="M430" t="n">
        <v>111793.24</v>
      </c>
      <c r="N430" t="n">
        <v>2486.84</v>
      </c>
      <c r="O430" t="n">
        <v>-4.44092867488135</v>
      </c>
      <c r="P430" t="n">
        <v>-4.44092867488135</v>
      </c>
      <c r="Q430" t="n">
        <v>7.75900381692502</v>
      </c>
    </row>
    <row r="431">
      <c r="A431" t="inlineStr">
        <is>
          <t>4.625% United States Treasury Bonds 15.11.2044 Senior</t>
        </is>
      </c>
      <c r="B431" t="inlineStr">
        <is>
          <t>US912810UF39</t>
        </is>
      </c>
      <c r="C431" t="inlineStr">
        <is>
          <t>Laruffa, Alessia</t>
        </is>
      </c>
      <c r="D431" t="n">
        <v>1596151.001</v>
      </c>
      <c r="E431" t="inlineStr">
        <is>
          <t>USD</t>
        </is>
      </c>
      <c r="F431" t="inlineStr">
        <is>
          <t>EUR</t>
        </is>
      </c>
      <c r="G431" t="n">
        <v>357400</v>
      </c>
      <c r="H431" t="inlineStr">
        <is>
          <t>2044-11-14T23:00:00Z</t>
        </is>
      </c>
      <c r="I431" t="n">
        <v>0.05348</v>
      </c>
      <c r="J431" t="n">
        <v>99.0970984890878</v>
      </c>
      <c r="K431" t="n">
        <v>91.7</v>
      </c>
      <c r="L431" t="n">
        <v>1.1144</v>
      </c>
      <c r="M431" t="n">
        <v>335192.15</v>
      </c>
      <c r="N431" t="n">
        <v>7456.35</v>
      </c>
      <c r="O431" t="n">
        <v>-7.46449553202851</v>
      </c>
      <c r="P431" t="n">
        <v>-3.08725468303919</v>
      </c>
      <c r="Q431" t="n">
        <v>12.9366531289392</v>
      </c>
    </row>
    <row r="432">
      <c r="A432" t="inlineStr">
        <is>
          <t>4.625% United States Treasury Bonds 15.11.2044 Senior</t>
        </is>
      </c>
      <c r="B432" t="inlineStr">
        <is>
          <t>US912810UF39</t>
        </is>
      </c>
      <c r="C432" t="inlineStr">
        <is>
          <t>Siciliano, Rosanna</t>
        </is>
      </c>
      <c r="D432" t="n">
        <v>1597944.001</v>
      </c>
      <c r="E432" t="inlineStr">
        <is>
          <t>USD</t>
        </is>
      </c>
      <c r="F432" t="inlineStr">
        <is>
          <t>EUR</t>
        </is>
      </c>
      <c r="G432" t="n">
        <v>261200</v>
      </c>
      <c r="H432" t="inlineStr">
        <is>
          <t>2044-11-14T23:00:00Z</t>
        </is>
      </c>
      <c r="I432" t="n">
        <v>0.05348</v>
      </c>
      <c r="J432" t="n">
        <v>99.0981163859111</v>
      </c>
      <c r="K432" t="n">
        <v>91.7</v>
      </c>
      <c r="L432" t="n">
        <v>1.1144</v>
      </c>
      <c r="M432" t="n">
        <v>244969.76</v>
      </c>
      <c r="N432" t="n">
        <v>5449.36</v>
      </c>
      <c r="O432" t="n">
        <v>-7.46544602028679</v>
      </c>
      <c r="P432" t="n">
        <v>-3.09655662218284</v>
      </c>
      <c r="Q432" t="n">
        <v>13.1246546330184</v>
      </c>
    </row>
    <row r="433">
      <c r="A433" t="inlineStr">
        <is>
          <t>4.75% United States Treasury Bonds 15.02.2045 Senior</t>
        </is>
      </c>
      <c r="B433" t="inlineStr">
        <is>
          <t>US912810UJ50</t>
        </is>
      </c>
      <c r="C433" t="inlineStr">
        <is>
          <t>Petrassi, Raffaele</t>
        </is>
      </c>
      <c r="D433" t="n">
        <v>1656189.001</v>
      </c>
      <c r="E433" t="inlineStr">
        <is>
          <t>USD</t>
        </is>
      </c>
      <c r="F433" t="inlineStr">
        <is>
          <t>EUR</t>
        </is>
      </c>
      <c r="G433" t="n">
        <v>22800</v>
      </c>
      <c r="H433" t="inlineStr">
        <is>
          <t>2045-02-14T23:00:00Z</t>
        </is>
      </c>
      <c r="I433" t="n">
        <v>0.05351</v>
      </c>
      <c r="J433" t="n">
        <v>100.06649122807</v>
      </c>
      <c r="K433" t="n">
        <v>93.06999999999999</v>
      </c>
      <c r="L433" t="n">
        <v>1.1144</v>
      </c>
      <c r="M433" t="n">
        <v>21437.74</v>
      </c>
      <c r="N433" t="n">
        <v>217.78</v>
      </c>
      <c r="O433" t="n">
        <v>-6.99184226628259</v>
      </c>
      <c r="P433" t="n">
        <v>-2.13429316990207</v>
      </c>
      <c r="Q433" t="n">
        <v>6.11491562763884</v>
      </c>
    </row>
    <row r="434">
      <c r="A434" t="inlineStr">
        <is>
          <t>4.75% United States Treasury Bonds 15.02.2045 Senior</t>
        </is>
      </c>
      <c r="B434" t="inlineStr">
        <is>
          <t>US912810UJ50</t>
        </is>
      </c>
      <c r="C434" t="inlineStr">
        <is>
          <t>Laruffa, Sergio</t>
        </is>
      </c>
      <c r="D434" t="n">
        <v>1591822.001</v>
      </c>
      <c r="E434" t="inlineStr">
        <is>
          <t>USD</t>
        </is>
      </c>
      <c r="F434" t="inlineStr">
        <is>
          <t>USD</t>
        </is>
      </c>
      <c r="G434" t="n">
        <v>336000</v>
      </c>
      <c r="H434" t="inlineStr">
        <is>
          <t>2045-02-14T23:00:00Z</t>
        </is>
      </c>
      <c r="I434" t="n">
        <v>0.05351</v>
      </c>
      <c r="J434" t="n">
        <v>99.88424999999999</v>
      </c>
      <c r="K434" t="n">
        <v>93.06999999999999</v>
      </c>
      <c r="L434" t="n">
        <v>1</v>
      </c>
      <c r="M434" t="n">
        <v>315924.55</v>
      </c>
      <c r="N434" t="n">
        <v>3209.35</v>
      </c>
      <c r="O434" t="n">
        <v>-6.8221466347297</v>
      </c>
      <c r="P434" t="n">
        <v>-6.8221466347297</v>
      </c>
      <c r="Q434" t="n">
        <v>6.44993614497976</v>
      </c>
    </row>
    <row r="435">
      <c r="A435" t="inlineStr">
        <is>
          <t>4.75% United States Treasury Bonds 15.02.2045 Senior</t>
        </is>
      </c>
      <c r="B435" t="inlineStr">
        <is>
          <t>US912810UJ50</t>
        </is>
      </c>
      <c r="C435" t="inlineStr">
        <is>
          <t>Bucchioni, Fabio</t>
        </is>
      </c>
      <c r="D435" t="n">
        <v>1592092.001</v>
      </c>
      <c r="E435" t="inlineStr">
        <is>
          <t>USD</t>
        </is>
      </c>
      <c r="F435" t="inlineStr">
        <is>
          <t>EUR</t>
        </is>
      </c>
      <c r="G435" t="n">
        <v>35900</v>
      </c>
      <c r="H435" t="inlineStr">
        <is>
          <t>2045-02-14T23:00:00Z</t>
        </is>
      </c>
      <c r="I435" t="n">
        <v>0.05351</v>
      </c>
      <c r="J435" t="n">
        <v>100.037409470752</v>
      </c>
      <c r="K435" t="n">
        <v>93.06999999999999</v>
      </c>
      <c r="L435" t="n">
        <v>1.1144</v>
      </c>
      <c r="M435" t="n">
        <v>33755.03</v>
      </c>
      <c r="N435" t="n">
        <v>342.9</v>
      </c>
      <c r="O435" t="n">
        <v>-6.96480397444632</v>
      </c>
      <c r="P435" t="n">
        <v>-2.18692192500807</v>
      </c>
      <c r="Q435" t="n">
        <v>6.14466765189888</v>
      </c>
    </row>
    <row r="436">
      <c r="A436" t="inlineStr">
        <is>
          <t>4.75% United States Treasury Bonds 15.02.2045 Senior</t>
        </is>
      </c>
      <c r="B436" t="inlineStr">
        <is>
          <t>US912810UJ50</t>
        </is>
      </c>
      <c r="C436" t="inlineStr">
        <is>
          <t>Alemagna, Alberto Pietro</t>
        </is>
      </c>
      <c r="D436" t="n">
        <v>1627998.001</v>
      </c>
      <c r="E436" t="inlineStr">
        <is>
          <t>USD</t>
        </is>
      </c>
      <c r="F436" t="inlineStr">
        <is>
          <t>EUR</t>
        </is>
      </c>
      <c r="G436" t="n">
        <v>207100</v>
      </c>
      <c r="H436" t="inlineStr">
        <is>
          <t>2045-02-14T23:00:00Z</t>
        </is>
      </c>
      <c r="I436" t="n">
        <v>0.05351</v>
      </c>
      <c r="J436" t="n">
        <v>100.048155480444</v>
      </c>
      <c r="K436" t="n">
        <v>93.06999999999999</v>
      </c>
      <c r="L436" t="n">
        <v>1.1144</v>
      </c>
      <c r="M436" t="n">
        <v>194726.11</v>
      </c>
      <c r="N436" t="n">
        <v>1978.14</v>
      </c>
      <c r="O436" t="n">
        <v>-6.97479673356717</v>
      </c>
      <c r="P436" t="n">
        <v>-2.11718704459032</v>
      </c>
      <c r="Q436" t="n">
        <v>6.1839004625542</v>
      </c>
    </row>
    <row r="437">
      <c r="A437" t="inlineStr">
        <is>
          <t>4.75% United States Treasury Bonds 15.02.2045 Senior</t>
        </is>
      </c>
      <c r="B437" t="inlineStr">
        <is>
          <t>US912810UJ50</t>
        </is>
      </c>
      <c r="C437" t="inlineStr">
        <is>
          <t>Simon Fiduciaria S.p.A. - POS. FID. 6297</t>
        </is>
      </c>
      <c r="D437" t="n">
        <v>1660666.001</v>
      </c>
      <c r="E437" t="inlineStr">
        <is>
          <t>USD</t>
        </is>
      </c>
      <c r="F437" t="inlineStr">
        <is>
          <t>EUR</t>
        </is>
      </c>
      <c r="G437" t="n">
        <v>270500</v>
      </c>
      <c r="H437" t="inlineStr">
        <is>
          <t>2045-02-14T23:00:00Z</t>
        </is>
      </c>
      <c r="I437" t="n">
        <v>0.05351</v>
      </c>
      <c r="J437" t="n">
        <v>99.9606839186691</v>
      </c>
      <c r="K437" t="n">
        <v>93.06999999999999</v>
      </c>
      <c r="L437" t="n">
        <v>1.1144</v>
      </c>
      <c r="M437" t="n">
        <v>254338.07</v>
      </c>
      <c r="N437" t="n">
        <v>2583.72</v>
      </c>
      <c r="O437" t="n">
        <v>-6.89339413111217</v>
      </c>
      <c r="P437" t="n">
        <v>-2.03171405525806</v>
      </c>
      <c r="Q437" t="n">
        <v>6.05846021671748</v>
      </c>
    </row>
    <row r="438">
      <c r="A438" t="inlineStr">
        <is>
          <t>4.75% United States Treasury Bonds 15.02.2045 Senior</t>
        </is>
      </c>
      <c r="B438" t="inlineStr">
        <is>
          <t>US912810UJ50</t>
        </is>
      </c>
      <c r="C438" t="inlineStr">
        <is>
          <t>Marchesi, Riccardo</t>
        </is>
      </c>
      <c r="D438" t="n">
        <v>1592866.001</v>
      </c>
      <c r="E438" t="inlineStr">
        <is>
          <t>USD</t>
        </is>
      </c>
      <c r="F438" t="inlineStr">
        <is>
          <t>EUR</t>
        </is>
      </c>
      <c r="G438" t="n">
        <v>94600</v>
      </c>
      <c r="H438" t="inlineStr">
        <is>
          <t>2045-02-14T23:00:00Z</t>
        </is>
      </c>
      <c r="I438" t="n">
        <v>0.05351</v>
      </c>
      <c r="J438" t="n">
        <v>99.9590486257928</v>
      </c>
      <c r="K438" t="n">
        <v>93.06999999999999</v>
      </c>
      <c r="L438" t="n">
        <v>1.1144</v>
      </c>
      <c r="M438" t="n">
        <v>88947.8</v>
      </c>
      <c r="N438" t="n">
        <v>903.58</v>
      </c>
      <c r="O438" t="n">
        <v>-6.891870941652</v>
      </c>
      <c r="P438" t="n">
        <v>-2.02883647989436</v>
      </c>
      <c r="Q438" t="n">
        <v>6.24490067056309</v>
      </c>
    </row>
    <row r="439">
      <c r="A439" t="inlineStr">
        <is>
          <t>4.75% United States Treasury Bonds 15.02.2045 Senior</t>
        </is>
      </c>
      <c r="B439" t="inlineStr">
        <is>
          <t>US912810UJ50</t>
        </is>
      </c>
      <c r="C439" t="inlineStr">
        <is>
          <t>Saira Holding S.r.L.</t>
        </is>
      </c>
      <c r="D439" t="n">
        <v>1690341.001</v>
      </c>
      <c r="E439" t="inlineStr">
        <is>
          <t>USD</t>
        </is>
      </c>
      <c r="F439" t="inlineStr">
        <is>
          <t>EUR</t>
        </is>
      </c>
      <c r="G439" t="n">
        <v>12600</v>
      </c>
      <c r="H439" t="inlineStr">
        <is>
          <t>2045-02-14T23:00:00Z</t>
        </is>
      </c>
      <c r="I439" t="n">
        <v>0.05351</v>
      </c>
      <c r="J439" t="n">
        <v>99.97706349206349</v>
      </c>
      <c r="K439" t="n">
        <v>93.06999999999999</v>
      </c>
      <c r="L439" t="n">
        <v>1.1144</v>
      </c>
      <c r="M439" t="n">
        <v>11847.17</v>
      </c>
      <c r="N439" t="n">
        <v>120.35</v>
      </c>
      <c r="O439" t="n">
        <v>-6.90864809468203</v>
      </c>
      <c r="P439" t="n">
        <v>-2.03981127719313</v>
      </c>
      <c r="Q439" t="n">
        <v>6.18904288553726</v>
      </c>
    </row>
    <row r="440">
      <c r="A440" t="inlineStr">
        <is>
          <t>4.75% United States Treasury Bonds 15.02.2045 Senior</t>
        </is>
      </c>
      <c r="B440" t="inlineStr">
        <is>
          <t>US912810UJ50</t>
        </is>
      </c>
      <c r="C440" t="inlineStr">
        <is>
          <t>Minardi, Mario Paolo</t>
        </is>
      </c>
      <c r="D440" t="n">
        <v>1650579.001</v>
      </c>
      <c r="E440" t="inlineStr">
        <is>
          <t>USD</t>
        </is>
      </c>
      <c r="F440" t="inlineStr">
        <is>
          <t>EUR</t>
        </is>
      </c>
      <c r="G440" t="n">
        <v>41500</v>
      </c>
      <c r="H440" t="inlineStr">
        <is>
          <t>2045-02-14T23:00:00Z</t>
        </is>
      </c>
      <c r="I440" t="n">
        <v>0.05351</v>
      </c>
      <c r="J440" t="n">
        <v>99.9463855421686</v>
      </c>
      <c r="K440" t="n">
        <v>93.06999999999999</v>
      </c>
      <c r="L440" t="n">
        <v>1.1144</v>
      </c>
      <c r="M440" t="n">
        <v>39020.44</v>
      </c>
      <c r="N440" t="n">
        <v>396.39</v>
      </c>
      <c r="O440" t="n">
        <v>-6.88007425667978</v>
      </c>
      <c r="P440" t="n">
        <v>-2.0168465406465</v>
      </c>
      <c r="Q440" t="n">
        <v>6.21867350786538</v>
      </c>
    </row>
    <row r="441">
      <c r="A441" t="inlineStr">
        <is>
          <t>4.75% United States Treasury Bonds 15.02.2045 Senior</t>
        </is>
      </c>
      <c r="B441" t="inlineStr">
        <is>
          <t>US912810UJ50</t>
        </is>
      </c>
      <c r="C441" t="inlineStr">
        <is>
          <t>Cariboni, Elisa</t>
        </is>
      </c>
      <c r="D441" t="n">
        <v>1600379.001</v>
      </c>
      <c r="E441" t="inlineStr">
        <is>
          <t>USD</t>
        </is>
      </c>
      <c r="F441" t="inlineStr">
        <is>
          <t>EUR</t>
        </is>
      </c>
      <c r="G441" t="n">
        <v>94900</v>
      </c>
      <c r="H441" t="inlineStr">
        <is>
          <t>2045-02-14T23:00:00Z</t>
        </is>
      </c>
      <c r="I441" t="n">
        <v>0.05351</v>
      </c>
      <c r="J441" t="n">
        <v>99.95052687038979</v>
      </c>
      <c r="K441" t="n">
        <v>93.06999999999999</v>
      </c>
      <c r="L441" t="n">
        <v>1.1144</v>
      </c>
      <c r="M441" t="n">
        <v>89229.88</v>
      </c>
      <c r="N441" t="n">
        <v>906.45</v>
      </c>
      <c r="O441" t="n">
        <v>-6.88393256727116</v>
      </c>
      <c r="P441" t="n">
        <v>-2.02102632883868</v>
      </c>
      <c r="Q441" t="n">
        <v>6.23378173041195</v>
      </c>
    </row>
    <row r="442">
      <c r="A442" t="inlineStr">
        <is>
          <t>4.75% United States Treasury Bonds 15.02.2045 Senior</t>
        </is>
      </c>
      <c r="B442" t="inlineStr">
        <is>
          <t>US912810UJ50</t>
        </is>
      </c>
      <c r="C442" t="inlineStr">
        <is>
          <t>Hera Società Fiduciaria e di revisione S.p.A. -   05250</t>
        </is>
      </c>
      <c r="D442" t="n">
        <v>1696403.001</v>
      </c>
      <c r="E442" t="inlineStr">
        <is>
          <t>USD</t>
        </is>
      </c>
      <c r="F442" t="inlineStr">
        <is>
          <t>EUR</t>
        </is>
      </c>
      <c r="G442" t="n">
        <v>127400</v>
      </c>
      <c r="H442" t="inlineStr">
        <is>
          <t>2045-02-14T23:00:00Z</t>
        </is>
      </c>
      <c r="I442" t="n">
        <v>0.05351</v>
      </c>
      <c r="J442" t="n">
        <v>99.94126373626371</v>
      </c>
      <c r="K442" t="n">
        <v>93.06999999999999</v>
      </c>
      <c r="L442" t="n">
        <v>1.1144</v>
      </c>
      <c r="M442" t="n">
        <v>119788.06</v>
      </c>
      <c r="N442" t="n">
        <v>1216.88</v>
      </c>
      <c r="O442" t="n">
        <v>-6.87530203179779</v>
      </c>
      <c r="P442" t="n">
        <v>-1.81004887676467</v>
      </c>
      <c r="Q442" t="n">
        <v>16.4377064313146</v>
      </c>
    </row>
    <row r="443">
      <c r="A443" t="inlineStr">
        <is>
          <t>4.75% United States Treasury Bonds 15.02.2045 Senior</t>
        </is>
      </c>
      <c r="B443" t="inlineStr">
        <is>
          <t>US912810UJ50</t>
        </is>
      </c>
      <c r="C443" t="inlineStr">
        <is>
          <t>Lettieri, Riccardo</t>
        </is>
      </c>
      <c r="D443" t="n">
        <v>1660765.001</v>
      </c>
      <c r="E443" t="inlineStr">
        <is>
          <t>USD</t>
        </is>
      </c>
      <c r="F443" t="inlineStr">
        <is>
          <t>EUR</t>
        </is>
      </c>
      <c r="G443" t="n">
        <v>84500</v>
      </c>
      <c r="H443" t="inlineStr">
        <is>
          <t>2045-02-14T23:00:00Z</t>
        </is>
      </c>
      <c r="I443" t="n">
        <v>0.05351</v>
      </c>
      <c r="J443" t="n">
        <v>99.9737278106508</v>
      </c>
      <c r="K443" t="n">
        <v>93.06999999999999</v>
      </c>
      <c r="L443" t="n">
        <v>1.1144</v>
      </c>
      <c r="M443" t="n">
        <v>79451.25999999999</v>
      </c>
      <c r="N443" t="n">
        <v>807.11</v>
      </c>
      <c r="O443" t="n">
        <v>-6.90554204773325</v>
      </c>
      <c r="P443" t="n">
        <v>-2.03857596753648</v>
      </c>
      <c r="Q443" t="n">
        <v>8.60937960894783</v>
      </c>
    </row>
    <row r="444">
      <c r="A444" t="inlineStr">
        <is>
          <t>4.75% United States Treasury Bonds 15.02.2045 Senior</t>
        </is>
      </c>
      <c r="B444" t="inlineStr">
        <is>
          <t>US912810UJ50</t>
        </is>
      </c>
      <c r="C444" t="inlineStr">
        <is>
          <t>Alemagna, Tancredi Luigi</t>
        </is>
      </c>
      <c r="D444" t="n">
        <v>1619782.001</v>
      </c>
      <c r="E444" t="inlineStr">
        <is>
          <t>USD</t>
        </is>
      </c>
      <c r="F444" t="inlineStr">
        <is>
          <t>EUR</t>
        </is>
      </c>
      <c r="G444" t="n">
        <v>205100</v>
      </c>
      <c r="H444" t="inlineStr">
        <is>
          <t>2045-02-14T23:00:00Z</t>
        </is>
      </c>
      <c r="I444" t="n">
        <v>0.05351</v>
      </c>
      <c r="J444" t="n">
        <v>99.9923403217942</v>
      </c>
      <c r="K444" t="n">
        <v>93.06999999999999</v>
      </c>
      <c r="L444" t="n">
        <v>1.1144</v>
      </c>
      <c r="M444" t="n">
        <v>192845.61</v>
      </c>
      <c r="N444" t="n">
        <v>1959.04</v>
      </c>
      <c r="O444" t="n">
        <v>-6.92287059140414</v>
      </c>
      <c r="P444" t="n">
        <v>-2.06170411663253</v>
      </c>
      <c r="Q444" t="n">
        <v>6.62089900377937</v>
      </c>
    </row>
    <row r="445">
      <c r="A445" t="inlineStr">
        <is>
          <t>4.75% United States Treasury Bonds 15.02.2045 Senior</t>
        </is>
      </c>
      <c r="B445" t="inlineStr">
        <is>
          <t>US912810UJ50</t>
        </is>
      </c>
      <c r="C445" t="inlineStr">
        <is>
          <t>Terenzi, Federico</t>
        </is>
      </c>
      <c r="D445" t="n">
        <v>1620379.001</v>
      </c>
      <c r="E445" t="inlineStr">
        <is>
          <t>USD</t>
        </is>
      </c>
      <c r="F445" t="inlineStr">
        <is>
          <t>EUR</t>
        </is>
      </c>
      <c r="G445" t="n">
        <v>12900</v>
      </c>
      <c r="H445" t="inlineStr">
        <is>
          <t>2045-02-14T23:00:00Z</t>
        </is>
      </c>
      <c r="I445" t="n">
        <v>0.05351</v>
      </c>
      <c r="J445" t="n">
        <v>100.300310077519</v>
      </c>
      <c r="K445" t="n">
        <v>93.06999999999999</v>
      </c>
      <c r="L445" t="n">
        <v>1.1144</v>
      </c>
      <c r="M445" t="n">
        <v>12129.25</v>
      </c>
      <c r="N445" t="n">
        <v>123.22</v>
      </c>
      <c r="O445" t="n">
        <v>-7.20866173986029</v>
      </c>
      <c r="P445" t="n">
        <v>-2.33299638727341</v>
      </c>
      <c r="Q445" t="n">
        <v>8.917076695750699</v>
      </c>
    </row>
    <row r="446">
      <c r="A446" t="inlineStr">
        <is>
          <t>4.75% United States Treasury Bonds 15.02.2045 Senior</t>
        </is>
      </c>
      <c r="B446" t="inlineStr">
        <is>
          <t>US912810UJ50</t>
        </is>
      </c>
      <c r="C446" t="inlineStr">
        <is>
          <t>Simon Fiduciaria S.p.A. - POS. FID. 6297</t>
        </is>
      </c>
      <c r="D446" t="n">
        <v>1660666.003</v>
      </c>
      <c r="E446" t="inlineStr">
        <is>
          <t>USD</t>
        </is>
      </c>
      <c r="F446" t="inlineStr">
        <is>
          <t>EUR</t>
        </is>
      </c>
      <c r="G446" t="n">
        <v>198800</v>
      </c>
      <c r="H446" t="inlineStr">
        <is>
          <t>2045-02-14T23:00:00Z</t>
        </is>
      </c>
      <c r="I446" t="n">
        <v>0.05351</v>
      </c>
      <c r="J446" t="n">
        <v>99.9874748490945</v>
      </c>
      <c r="K446" t="n">
        <v>93.06999999999999</v>
      </c>
      <c r="L446" t="n">
        <v>1.1144</v>
      </c>
      <c r="M446" t="n">
        <v>186922.02</v>
      </c>
      <c r="N446" t="n">
        <v>1898.86</v>
      </c>
      <c r="O446" t="n">
        <v>-6.91834138179279</v>
      </c>
      <c r="P446" t="n">
        <v>-2.05854690536007</v>
      </c>
      <c r="Q446" t="n">
        <v>6.2746247122282</v>
      </c>
    </row>
    <row r="447">
      <c r="A447" t="inlineStr">
        <is>
          <t>4.75% United States Treasury Bonds 15.02.2045 Senior</t>
        </is>
      </c>
      <c r="B447" t="inlineStr">
        <is>
          <t>US912810UJ50</t>
        </is>
      </c>
      <c r="C447" t="inlineStr">
        <is>
          <t>Fariniundici S.p.A.</t>
        </is>
      </c>
      <c r="D447" t="n">
        <v>1644446.001</v>
      </c>
      <c r="E447" t="inlineStr">
        <is>
          <t>USD</t>
        </is>
      </c>
      <c r="F447" t="inlineStr">
        <is>
          <t>EUR</t>
        </is>
      </c>
      <c r="G447" t="n">
        <v>794400</v>
      </c>
      <c r="H447" t="inlineStr">
        <is>
          <t>2045-02-14T23:00:00Z</t>
        </is>
      </c>
      <c r="I447" t="n">
        <v>0.05351</v>
      </c>
      <c r="J447" t="n">
        <v>99.9333031218529</v>
      </c>
      <c r="K447" t="n">
        <v>93.06999999999999</v>
      </c>
      <c r="L447" t="n">
        <v>1.1144</v>
      </c>
      <c r="M447" t="n">
        <v>746935.9</v>
      </c>
      <c r="N447" t="n">
        <v>7587.82</v>
      </c>
      <c r="O447" t="n">
        <v>-6.86788378593295</v>
      </c>
      <c r="P447" t="n">
        <v>-2.00978269926065</v>
      </c>
      <c r="Q447" t="n">
        <v>6.15505730046077</v>
      </c>
    </row>
    <row r="448">
      <c r="A448" t="inlineStr">
        <is>
          <t>4.75% United States Treasury Bonds 15.02.2045 Senior</t>
        </is>
      </c>
      <c r="B448" t="inlineStr">
        <is>
          <t>US912810UJ50</t>
        </is>
      </c>
      <c r="C448" t="inlineStr">
        <is>
          <t>Bertini, Marco</t>
        </is>
      </c>
      <c r="D448" t="n">
        <v>112029.001</v>
      </c>
      <c r="E448" t="inlineStr">
        <is>
          <t>USD</t>
        </is>
      </c>
      <c r="F448" t="inlineStr">
        <is>
          <t>USD</t>
        </is>
      </c>
      <c r="G448" t="n">
        <v>116300</v>
      </c>
      <c r="H448" t="inlineStr">
        <is>
          <t>2045-02-14T23:00:00Z</t>
        </is>
      </c>
      <c r="I448" t="n">
        <v>0.05351</v>
      </c>
      <c r="J448" t="n">
        <v>100.110885640584</v>
      </c>
      <c r="K448" t="n">
        <v>93.06999999999999</v>
      </c>
      <c r="L448" t="n">
        <v>1</v>
      </c>
      <c r="M448" t="n">
        <v>109351.26</v>
      </c>
      <c r="N448" t="n">
        <v>1110.85</v>
      </c>
      <c r="O448" t="n">
        <v>-7.03308695705948</v>
      </c>
      <c r="P448" t="n">
        <v>-7.03308695705948</v>
      </c>
      <c r="Q448" t="n">
        <v>7.07450510557624</v>
      </c>
    </row>
    <row r="449">
      <c r="A449" t="inlineStr">
        <is>
          <t>4.75% United States Treasury Bonds 15.02.2045 Senior</t>
        </is>
      </c>
      <c r="B449" t="inlineStr">
        <is>
          <t>US912810UJ50</t>
        </is>
      </c>
      <c r="C449" t="inlineStr">
        <is>
          <t>Ancona, Giselda</t>
        </is>
      </c>
      <c r="D449" t="n">
        <v>1648638.001</v>
      </c>
      <c r="E449" t="inlineStr">
        <is>
          <t>USD</t>
        </is>
      </c>
      <c r="F449" t="inlineStr">
        <is>
          <t>EUR</t>
        </is>
      </c>
      <c r="G449" t="n">
        <v>73300</v>
      </c>
      <c r="H449" t="inlineStr">
        <is>
          <t>2045-02-14T23:00:00Z</t>
        </is>
      </c>
      <c r="I449" t="n">
        <v>0.05351</v>
      </c>
      <c r="J449" t="n">
        <v>99.99125511596181</v>
      </c>
      <c r="K449" t="n">
        <v>93.06999999999999</v>
      </c>
      <c r="L449" t="n">
        <v>1.1144</v>
      </c>
      <c r="M449" t="n">
        <v>68920.44</v>
      </c>
      <c r="N449" t="n">
        <v>700.13</v>
      </c>
      <c r="O449" t="n">
        <v>-6.92186042462922</v>
      </c>
      <c r="P449" t="n">
        <v>-2.06101067743652</v>
      </c>
      <c r="Q449" t="n">
        <v>6.37445936986631</v>
      </c>
    </row>
    <row r="450">
      <c r="A450" t="inlineStr">
        <is>
          <t>4.75% United States Treasury Bonds 15.02.2045 Senior</t>
        </is>
      </c>
      <c r="B450" t="inlineStr">
        <is>
          <t>US912810UJ50</t>
        </is>
      </c>
      <c r="C450" t="inlineStr">
        <is>
          <t>Virlinzi, Francesco</t>
        </is>
      </c>
      <c r="D450" t="n">
        <v>1648903.001</v>
      </c>
      <c r="E450" t="inlineStr">
        <is>
          <t>USD</t>
        </is>
      </c>
      <c r="F450" t="inlineStr">
        <is>
          <t>EUR</t>
        </is>
      </c>
      <c r="G450" t="n">
        <v>686300</v>
      </c>
      <c r="H450" t="inlineStr">
        <is>
          <t>2045-02-14T23:00:00Z</t>
        </is>
      </c>
      <c r="I450" t="n">
        <v>0.05351</v>
      </c>
      <c r="J450" t="n">
        <v>99.99107387439889</v>
      </c>
      <c r="K450" t="n">
        <v>93.06999999999999</v>
      </c>
      <c r="L450" t="n">
        <v>1.1144</v>
      </c>
      <c r="M450" t="n">
        <v>645294.6899999999</v>
      </c>
      <c r="N450" t="n">
        <v>6555.28</v>
      </c>
      <c r="O450" t="n">
        <v>-6.92169171329499</v>
      </c>
      <c r="P450" t="n">
        <v>-2.06070865911918</v>
      </c>
      <c r="Q450" t="n">
        <v>6.24776808954652</v>
      </c>
    </row>
    <row r="451">
      <c r="A451" t="inlineStr">
        <is>
          <t>4.75% United States Treasury Bonds 15.02.2045 Senior</t>
        </is>
      </c>
      <c r="B451" t="inlineStr">
        <is>
          <t>US912810UJ50</t>
        </is>
      </c>
      <c r="C451" t="inlineStr">
        <is>
          <t>Malerba, Maria Clara</t>
        </is>
      </c>
      <c r="D451" t="n">
        <v>1632673.001</v>
      </c>
      <c r="E451" t="inlineStr">
        <is>
          <t>USD</t>
        </is>
      </c>
      <c r="F451" t="inlineStr">
        <is>
          <t>EUR</t>
        </is>
      </c>
      <c r="G451" t="n">
        <v>421600</v>
      </c>
      <c r="H451" t="inlineStr">
        <is>
          <t>2045-02-14T23:00:00Z</t>
        </is>
      </c>
      <c r="I451" t="n">
        <v>0.05351</v>
      </c>
      <c r="J451" t="n">
        <v>98.9528368121442</v>
      </c>
      <c r="K451" t="n">
        <v>93.06999999999999</v>
      </c>
      <c r="L451" t="n">
        <v>1.1144</v>
      </c>
      <c r="M451" t="n">
        <v>396410.09</v>
      </c>
      <c r="N451" t="n">
        <v>4026.97</v>
      </c>
      <c r="O451" t="n">
        <v>-5.94509162310567</v>
      </c>
      <c r="P451" t="n">
        <v>-1.04253288292406</v>
      </c>
      <c r="Q451" t="n">
        <v>6.76198120534578</v>
      </c>
    </row>
    <row r="452">
      <c r="A452" t="inlineStr">
        <is>
          <t>4.75% United States Treasury Bonds 15.02.2045 Senior</t>
        </is>
      </c>
      <c r="B452" t="inlineStr">
        <is>
          <t>US912810UJ50</t>
        </is>
      </c>
      <c r="C452" t="inlineStr">
        <is>
          <t>Galli, Federico</t>
        </is>
      </c>
      <c r="D452" t="n">
        <v>1621661.001</v>
      </c>
      <c r="E452" t="inlineStr">
        <is>
          <t>USD</t>
        </is>
      </c>
      <c r="F452" t="inlineStr">
        <is>
          <t>EUR</t>
        </is>
      </c>
      <c r="G452" t="n">
        <v>44900</v>
      </c>
      <c r="H452" t="inlineStr">
        <is>
          <t>2045-02-14T23:00:00Z</t>
        </is>
      </c>
      <c r="I452" t="n">
        <v>0.05351</v>
      </c>
      <c r="J452" t="n">
        <v>99.7887527839643</v>
      </c>
      <c r="K452" t="n">
        <v>93.06999999999999</v>
      </c>
      <c r="L452" t="n">
        <v>1.1144</v>
      </c>
      <c r="M452" t="n">
        <v>42217.3</v>
      </c>
      <c r="N452" t="n">
        <v>428.87</v>
      </c>
      <c r="O452" t="n">
        <v>-6.73297600833832</v>
      </c>
      <c r="P452" t="n">
        <v>-1.77190983273737</v>
      </c>
      <c r="Q452" t="n">
        <v>6.88730932461082</v>
      </c>
    </row>
    <row r="453">
      <c r="A453" t="inlineStr">
        <is>
          <t>4.75% United States Treasury Bonds 15.02.2045 Senior</t>
        </is>
      </c>
      <c r="B453" t="inlineStr">
        <is>
          <t>US912810UJ50</t>
        </is>
      </c>
      <c r="C453" t="inlineStr">
        <is>
          <t>BISVALLES ASSETS INC.</t>
        </is>
      </c>
      <c r="D453" t="n">
        <v>1649314.001</v>
      </c>
      <c r="E453" t="inlineStr">
        <is>
          <t>USD</t>
        </is>
      </c>
      <c r="F453" t="inlineStr">
        <is>
          <t>EUR</t>
        </is>
      </c>
      <c r="G453" t="n">
        <v>717100</v>
      </c>
      <c r="H453" t="inlineStr">
        <is>
          <t>2045-02-14T23:00:00Z</t>
        </is>
      </c>
      <c r="I453" t="n">
        <v>0.05351</v>
      </c>
      <c r="J453" t="n">
        <v>100.185916887463</v>
      </c>
      <c r="K453" t="n">
        <v>93.06999999999999</v>
      </c>
      <c r="L453" t="n">
        <v>1.1144</v>
      </c>
      <c r="M453" t="n">
        <v>674254.4399999999</v>
      </c>
      <c r="N453" t="n">
        <v>6849.47</v>
      </c>
      <c r="O453" t="n">
        <v>-7.10271174685813</v>
      </c>
      <c r="P453" t="n">
        <v>-2.12873951476135</v>
      </c>
      <c r="Q453" t="n">
        <v>6.24635809632633</v>
      </c>
    </row>
    <row r="454">
      <c r="A454" t="inlineStr">
        <is>
          <t>4.75% United States Treasury Bonds 15.02.2045 Senior</t>
        </is>
      </c>
      <c r="B454" t="inlineStr">
        <is>
          <t>US912810UJ50</t>
        </is>
      </c>
      <c r="C454" t="inlineStr">
        <is>
          <t>Laruffa, Serena</t>
        </is>
      </c>
      <c r="D454" t="n">
        <v>1596193.001</v>
      </c>
      <c r="E454" t="inlineStr">
        <is>
          <t>USD</t>
        </is>
      </c>
      <c r="F454" t="inlineStr">
        <is>
          <t>EUR</t>
        </is>
      </c>
      <c r="G454" t="n">
        <v>249600</v>
      </c>
      <c r="H454" t="inlineStr">
        <is>
          <t>2045-02-14T23:00:00Z</t>
        </is>
      </c>
      <c r="I454" t="n">
        <v>0.05351</v>
      </c>
      <c r="J454" t="n">
        <v>99.952375801282</v>
      </c>
      <c r="K454" t="n">
        <v>93.06999999999999</v>
      </c>
      <c r="L454" t="n">
        <v>1.1144</v>
      </c>
      <c r="M454" t="n">
        <v>234686.81</v>
      </c>
      <c r="N454" t="n">
        <v>2384.09</v>
      </c>
      <c r="O454" t="n">
        <v>-6.88565503932101</v>
      </c>
      <c r="P454" t="n">
        <v>-2.02334795318339</v>
      </c>
      <c r="Q454" t="n">
        <v>6.91439809050726</v>
      </c>
    </row>
    <row r="455">
      <c r="A455" t="inlineStr">
        <is>
          <t>4.75% United States Treasury Bonds 15.02.2045 Senior</t>
        </is>
      </c>
      <c r="B455" t="inlineStr">
        <is>
          <t>US912810UJ50</t>
        </is>
      </c>
      <c r="C455" t="inlineStr">
        <is>
          <t>Hera Società Fiduciaria e di revisione S.p.A. - - 05361</t>
        </is>
      </c>
      <c r="D455" t="n">
        <v>1706128.001</v>
      </c>
      <c r="E455" t="inlineStr">
        <is>
          <t>USD</t>
        </is>
      </c>
      <c r="F455" t="inlineStr">
        <is>
          <t>EUR</t>
        </is>
      </c>
      <c r="G455" t="n">
        <v>76200</v>
      </c>
      <c r="H455" t="inlineStr">
        <is>
          <t>2045-02-14T23:00:00Z</t>
        </is>
      </c>
      <c r="I455" t="n">
        <v>0.05351</v>
      </c>
      <c r="J455" t="n">
        <v>99.9441732283464</v>
      </c>
      <c r="K455" t="n">
        <v>93.06999999999999</v>
      </c>
      <c r="L455" t="n">
        <v>1.1144</v>
      </c>
      <c r="M455" t="n">
        <v>71647.17</v>
      </c>
      <c r="N455" t="n">
        <v>727.83</v>
      </c>
      <c r="O455" t="n">
        <v>-6.8780130009588</v>
      </c>
      <c r="P455" t="n">
        <v>-2.01263927858612</v>
      </c>
      <c r="Q455" t="n">
        <v>6.3490196992801</v>
      </c>
    </row>
    <row r="456">
      <c r="A456" t="inlineStr">
        <is>
          <t>4.75% United States Treasury Bonds 15.02.2045 Senior</t>
        </is>
      </c>
      <c r="B456" t="inlineStr">
        <is>
          <t>US912810UJ50</t>
        </is>
      </c>
      <c r="C456" t="inlineStr">
        <is>
          <t>Lettieri, Umberto</t>
        </is>
      </c>
      <c r="D456" t="n">
        <v>1710712.001</v>
      </c>
      <c r="E456" t="inlineStr">
        <is>
          <t>USD</t>
        </is>
      </c>
      <c r="F456" t="inlineStr">
        <is>
          <t>USD</t>
        </is>
      </c>
      <c r="G456" t="n">
        <v>109200</v>
      </c>
      <c r="H456" t="inlineStr">
        <is>
          <t>2045-02-14T23:00:00Z</t>
        </is>
      </c>
      <c r="I456" t="n">
        <v>0.05351</v>
      </c>
      <c r="J456" t="n">
        <v>97.9810622710622</v>
      </c>
      <c r="K456" t="n">
        <v>93.06999999999999</v>
      </c>
      <c r="L456" t="n">
        <v>1</v>
      </c>
      <c r="M456" t="n">
        <v>102675.48</v>
      </c>
      <c r="N456" t="n">
        <v>1043.04</v>
      </c>
      <c r="O456" t="n">
        <v>-5.01225661084989</v>
      </c>
      <c r="P456" t="n">
        <v>-5.01225661084989</v>
      </c>
      <c r="Q456" t="n">
        <v>7.12618617391005</v>
      </c>
    </row>
    <row r="457">
      <c r="A457" t="inlineStr">
        <is>
          <t>4.75% United States Treasury Bonds 15.02.2045 Senior</t>
        </is>
      </c>
      <c r="B457" t="inlineStr">
        <is>
          <t>US912810UJ50</t>
        </is>
      </c>
      <c r="C457" t="inlineStr">
        <is>
          <t>Laruffa, Alessia</t>
        </is>
      </c>
      <c r="D457" t="n">
        <v>1596151.001</v>
      </c>
      <c r="E457" t="inlineStr">
        <is>
          <t>USD</t>
        </is>
      </c>
      <c r="F457" t="inlineStr">
        <is>
          <t>EUR</t>
        </is>
      </c>
      <c r="G457" t="n">
        <v>201700</v>
      </c>
      <c r="H457" t="inlineStr">
        <is>
          <t>2045-02-14T23:00:00Z</t>
        </is>
      </c>
      <c r="I457" t="n">
        <v>0.05351</v>
      </c>
      <c r="J457" t="n">
        <v>99.93797719385221</v>
      </c>
      <c r="K457" t="n">
        <v>93.06999999999999</v>
      </c>
      <c r="L457" t="n">
        <v>1.1144</v>
      </c>
      <c r="M457" t="n">
        <v>189648.75</v>
      </c>
      <c r="N457" t="n">
        <v>1926.56</v>
      </c>
      <c r="O457" t="n">
        <v>-6.87223954966615</v>
      </c>
      <c r="P457" t="n">
        <v>-2.0062393374958</v>
      </c>
      <c r="Q457" t="n">
        <v>7.31944395387227</v>
      </c>
    </row>
    <row r="458">
      <c r="A458" t="inlineStr">
        <is>
          <t>4.75% United States Treasury Bonds 15.02.2045 Senior</t>
        </is>
      </c>
      <c r="B458" t="inlineStr">
        <is>
          <t>US912810UJ50</t>
        </is>
      </c>
      <c r="C458" t="inlineStr">
        <is>
          <t>Siciliano, Rosanna</t>
        </is>
      </c>
      <c r="D458" t="n">
        <v>1597944.001</v>
      </c>
      <c r="E458" t="inlineStr">
        <is>
          <t>USD</t>
        </is>
      </c>
      <c r="F458" t="inlineStr">
        <is>
          <t>EUR</t>
        </is>
      </c>
      <c r="G458" t="n">
        <v>144900</v>
      </c>
      <c r="H458" t="inlineStr">
        <is>
          <t>2045-02-14T23:00:00Z</t>
        </is>
      </c>
      <c r="I458" t="n">
        <v>0.05351</v>
      </c>
      <c r="J458" t="n">
        <v>99.93311249137329</v>
      </c>
      <c r="K458" t="n">
        <v>93.06999999999999</v>
      </c>
      <c r="L458" t="n">
        <v>1.1144</v>
      </c>
      <c r="M458" t="n">
        <v>136242.46</v>
      </c>
      <c r="N458" t="n">
        <v>1384.03</v>
      </c>
      <c r="O458" t="n">
        <v>-6.86770612890278</v>
      </c>
      <c r="P458" t="n">
        <v>-2.0033149413771</v>
      </c>
      <c r="Q458" t="n">
        <v>7.29941153777269</v>
      </c>
    </row>
    <row r="459">
      <c r="A459" t="inlineStr">
        <is>
          <t>4.75% United States Treasury Notes 30.09.2028 Senior</t>
        </is>
      </c>
      <c r="B459" t="inlineStr">
        <is>
          <t>US91282CRP85</t>
        </is>
      </c>
      <c r="C459" t="inlineStr">
        <is>
          <t>Hera Società Fiduciaria e di revisione S.p.A. -   05250</t>
        </is>
      </c>
      <c r="D459" t="n">
        <v>1696403.001</v>
      </c>
      <c r="E459" t="inlineStr">
        <is>
          <t>USD</t>
        </is>
      </c>
      <c r="F459" t="inlineStr">
        <is>
          <t>EUR</t>
        </is>
      </c>
      <c r="G459" t="n">
        <v>15000</v>
      </c>
      <c r="H459" t="inlineStr">
        <is>
          <t>2028-09-29T22:00:00Z</t>
        </is>
      </c>
      <c r="I459" t="n">
        <v>0.04722</v>
      </c>
      <c r="J459" t="n">
        <v>99.6992</v>
      </c>
      <c r="K459" t="n">
        <v>100.03</v>
      </c>
      <c r="L459" t="n">
        <v>1.1144</v>
      </c>
      <c r="M459" t="n">
        <v>15059.31</v>
      </c>
      <c r="N459" t="n">
        <v>54.81</v>
      </c>
      <c r="O459" t="n">
        <v>0.331798048529978</v>
      </c>
      <c r="P459" t="n">
        <v>2.25911461300206</v>
      </c>
      <c r="Q459" t="n">
        <v>2.06648701336774</v>
      </c>
    </row>
    <row r="460">
      <c r="A460" t="inlineStr">
        <is>
          <t>4.75% United States Treasury Notes 30.09.2028 Senior</t>
        </is>
      </c>
      <c r="B460" t="inlineStr">
        <is>
          <t>US91282CRP85</t>
        </is>
      </c>
      <c r="C460" t="inlineStr">
        <is>
          <t>Hera Società Fiduciaria e di revisione S.p.A. - - 05361</t>
        </is>
      </c>
      <c r="D460" t="n">
        <v>1706128.001</v>
      </c>
      <c r="E460" t="inlineStr">
        <is>
          <t>USD</t>
        </is>
      </c>
      <c r="F460" t="inlineStr">
        <is>
          <t>EUR</t>
        </is>
      </c>
      <c r="G460" t="n">
        <v>22500</v>
      </c>
      <c r="H460" t="inlineStr">
        <is>
          <t>2028-09-29T22:00:00Z</t>
        </is>
      </c>
      <c r="I460" t="n">
        <v>0.04722</v>
      </c>
      <c r="J460" t="n">
        <v>99.6992</v>
      </c>
      <c r="K460" t="n">
        <v>100.03</v>
      </c>
      <c r="L460" t="n">
        <v>1.1144</v>
      </c>
      <c r="M460" t="n">
        <v>22588.96</v>
      </c>
      <c r="N460" t="n">
        <v>82.20999999999999</v>
      </c>
      <c r="O460" t="n">
        <v>0.331798048529978</v>
      </c>
      <c r="P460" t="n">
        <v>2.25911461300206</v>
      </c>
      <c r="Q460" t="n">
        <v>2.00172268993829</v>
      </c>
    </row>
    <row r="461">
      <c r="A461" t="inlineStr">
        <is>
          <t>iShares $ Treasury Bond 20+yr UCITS ETF EUR H D</t>
        </is>
      </c>
      <c r="B461" t="inlineStr">
        <is>
          <t>IE00BD8PGZ49</t>
        </is>
      </c>
      <c r="C461" t="inlineStr">
        <is>
          <t>Fariniundici S.p.A.</t>
        </is>
      </c>
      <c r="D461" t="n">
        <v>1644446.001</v>
      </c>
      <c r="E461" t="inlineStr">
        <is>
          <t>EUR</t>
        </is>
      </c>
      <c r="F461" t="inlineStr">
        <is>
          <t>EUR</t>
        </is>
      </c>
      <c r="G461" t="n">
        <v>295535</v>
      </c>
      <c r="J461" t="n">
        <v>3.3422183159355</v>
      </c>
      <c r="K461" t="n">
        <v>2.67075</v>
      </c>
      <c r="L461" t="n">
        <v>1</v>
      </c>
      <c r="M461" t="n">
        <v>789300.1</v>
      </c>
      <c r="O461" t="n">
        <v>-20.0904984860983</v>
      </c>
      <c r="P461" t="n">
        <v>-20.0904984860983</v>
      </c>
      <c r="Q461" t="n">
        <v>7.24851930346567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31"/>
  <sheetViews>
    <sheetView tabSelected="1" zoomScale="85" zoomScaleNormal="85" workbookViewId="0">
      <pane ySplit="7" topLeftCell="A8" activePane="bottomLeft" state="frozen"/>
      <selection pane="bottomLeft" activeCell="E14" sqref="E14"/>
    </sheetView>
  </sheetViews>
  <sheetFormatPr baseColWidth="8" defaultRowHeight="14.4"/>
  <cols>
    <col width="35.21875" customWidth="1" min="1" max="1"/>
    <col width="12" customWidth="1" min="2" max="4"/>
    <col width="13.33203125" customWidth="1" style="30" min="5" max="8"/>
    <col width="13" customWidth="1" min="9" max="10"/>
    <col width="13.33203125" customWidth="1" style="30" min="11" max="14"/>
    <col width="13" customWidth="1" min="15" max="15"/>
    <col width="3" customWidth="1" min="16" max="16"/>
    <col width="17" customWidth="1" min="17" max="17"/>
    <col width="17" customWidth="1" min="18" max="18"/>
    <col width="17" customWidth="1" min="19" max="19"/>
    <col width="17" customWidth="1" min="20" max="20"/>
  </cols>
  <sheetData>
    <row r="1" ht="18" customHeight="1">
      <c r="A1" s="21" t="n"/>
      <c r="B1" s="2" t="n"/>
      <c r="C1" s="2" t="n"/>
      <c r="D1" s="2" t="n"/>
      <c r="E1" s="23" t="n"/>
      <c r="F1" s="23" t="n"/>
      <c r="G1" s="23" t="n"/>
      <c r="H1" s="23" t="n"/>
      <c r="K1" s="23" t="n"/>
      <c r="L1" s="23" t="n"/>
      <c r="M1" s="23" t="n"/>
      <c r="N1" s="23" t="n"/>
    </row>
    <row r="2">
      <c r="A2" s="22" t="n"/>
      <c r="B2" s="2" t="n"/>
      <c r="C2" s="2" t="n"/>
      <c r="D2" s="2" t="n"/>
      <c r="E2" s="23" t="n"/>
      <c r="F2" s="23" t="n"/>
      <c r="G2" s="23" t="n"/>
      <c r="H2" s="23" t="n"/>
      <c r="K2" s="23" t="n"/>
      <c r="L2" s="23" t="n"/>
      <c r="M2" s="23" t="n"/>
      <c r="N2" s="23" t="n"/>
    </row>
    <row r="3">
      <c r="A3" s="3" t="n"/>
      <c r="B3" s="3" t="n"/>
      <c r="C3" s="3" t="n"/>
      <c r="D3" s="3" t="n"/>
      <c r="E3" s="32" t="inlineStr">
        <is>
          <t>EUR/USD</t>
        </is>
      </c>
      <c r="F3" s="33" t="n">
        <v>1.1144</v>
      </c>
      <c r="G3" s="24" t="n"/>
      <c r="H3" s="24" t="n"/>
      <c r="K3" s="24" t="n"/>
      <c r="L3" s="24" t="n"/>
      <c r="M3" s="24" t="n"/>
      <c r="N3" s="24" t="n"/>
    </row>
    <row r="4">
      <c r="A4" s="19" t="n"/>
      <c r="B4" s="19" t="n"/>
      <c r="C4" s="19" t="n"/>
      <c r="D4" s="20" t="n"/>
      <c r="E4" s="25" t="inlineStr">
        <is>
          <t xml:space="preserve">Shares Edge MSCI World Momentum Factor UCITS ETF  </t>
        </is>
      </c>
      <c r="F4" s="31" t="inlineStr">
        <is>
          <t>Price</t>
        </is>
      </c>
      <c r="G4" s="31" t="inlineStr">
        <is>
          <t>Units</t>
        </is>
      </c>
      <c r="H4" s="31" t="inlineStr">
        <is>
          <t>Value</t>
        </is>
      </c>
      <c r="J4" s="20" t="n"/>
      <c r="K4" s="25" t="inlineStr">
        <is>
          <t xml:space="preserve">The VanEck Semiconductor UCITS ETF </t>
        </is>
      </c>
      <c r="L4" s="31" t="inlineStr">
        <is>
          <t>Price</t>
        </is>
      </c>
      <c r="M4" s="31" t="inlineStr">
        <is>
          <t>Units</t>
        </is>
      </c>
      <c r="N4" s="31" t="inlineStr">
        <is>
          <t>Value</t>
        </is>
      </c>
      <c r="Q4" s="34" t="inlineStr">
        <is>
          <t>Cash (USD)</t>
        </is>
      </c>
      <c r="R4" s="34" t="n"/>
      <c r="S4" s="34" t="n"/>
      <c r="T4" s="34" t="n"/>
    </row>
    <row r="5">
      <c r="A5" s="4" t="n"/>
      <c r="B5" s="4" t="n"/>
      <c r="C5" s="4" t="n"/>
      <c r="D5" s="5" t="n"/>
      <c r="E5" s="26" t="inlineStr">
        <is>
          <t>IE00BP3QZ825</t>
        </is>
      </c>
      <c r="F5" s="26" t="n">
        <v>111.08</v>
      </c>
      <c r="G5" s="26" t="n"/>
      <c r="H5" s="26" t="n"/>
      <c r="J5" s="5" t="n"/>
      <c r="K5" s="26" t="inlineStr">
        <is>
          <t>IE00BMC38736</t>
        </is>
      </c>
      <c r="L5" s="26" t="n">
        <v>100.04</v>
      </c>
      <c r="M5" s="26" t="n"/>
      <c r="N5" s="26" t="n"/>
    </row>
    <row r="6">
      <c r="A6" s="6" t="inlineStr">
        <is>
          <t>Client</t>
        </is>
      </c>
      <c r="B6" s="6" t="inlineStr">
        <is>
          <t>Portfolio</t>
        </is>
      </c>
      <c r="C6" s="6" t="inlineStr">
        <is>
          <t>Ref. Curr.</t>
        </is>
      </c>
      <c r="D6" s="7" t="inlineStr">
        <is>
          <t>Units</t>
        </is>
      </c>
      <c r="E6" s="27" t="n"/>
      <c r="F6" s="27" t="n"/>
      <c r="G6" s="27" t="n"/>
      <c r="H6" s="27" t="n"/>
      <c r="I6" s="7" t="inlineStr">
        <is>
          <t>% of Portfolio</t>
        </is>
      </c>
      <c r="J6" s="7" t="inlineStr">
        <is>
          <t>Units</t>
        </is>
      </c>
      <c r="K6" s="27" t="n"/>
      <c r="L6" s="27" t="n"/>
      <c r="M6" s="27" t="n"/>
      <c r="N6" s="27" t="n"/>
      <c r="O6" s="7" t="inlineStr">
        <is>
          <t>% of Portfolio</t>
        </is>
      </c>
      <c r="Q6" s="35" t="inlineStr">
        <is>
          <t>Naked Cash (USD)</t>
        </is>
      </c>
      <c r="R6" s="35" t="inlineStr">
        <is>
          <t>US T-bills (USD)</t>
        </is>
      </c>
      <c r="S6" s="35" t="inlineStr">
        <is>
          <t>EUR T-bills (USD)</t>
        </is>
      </c>
      <c r="T6" s="35" t="inlineStr">
        <is>
          <t>Total Cash (USD)</t>
        </is>
      </c>
    </row>
    <row r="7">
      <c r="A7" s="8" t="inlineStr">
        <is>
          <t>TOTAL</t>
        </is>
      </c>
      <c r="B7" s="8" t="n"/>
      <c r="C7" s="9" t="n"/>
      <c r="D7" s="36">
        <f>SUM(D8:D35)</f>
        <v/>
      </c>
      <c r="E7" s="37" t="n"/>
      <c r="F7" s="37" t="n"/>
      <c r="G7" s="36">
        <f>SUM(G8:G35)</f>
        <v/>
      </c>
      <c r="H7" s="36">
        <f>SUM(H8:H35)</f>
        <v/>
      </c>
      <c r="I7" s="38">
        <f t="array" ref="I7">IFERROR(H7/SUMPRODUCT(SUMIFS(Data!$E:$E,Data!$B:$B,$B$8:$B$35)),0)</f>
        <v/>
      </c>
      <c r="J7" s="36">
        <f>SUM(J8:J35)</f>
        <v/>
      </c>
      <c r="K7" s="37" t="n"/>
      <c r="L7" s="37" t="n"/>
      <c r="M7" s="36">
        <f>SUM(M8:M35)</f>
        <v/>
      </c>
      <c r="N7" s="36">
        <f>SUM(N8:N35)</f>
        <v/>
      </c>
      <c r="O7" s="38">
        <f t="array" ref="O7">IFERROR(N7/SUMPRODUCT(SUMIFS(Data!$E:$E,Data!$B:$B,$B$8:$B$35)),0)</f>
        <v/>
      </c>
      <c r="Q7" s="39">
        <f>SUM(Q8:Q35)</f>
        <v/>
      </c>
      <c r="R7" s="39">
        <f>SUM(R8:R35)</f>
        <v/>
      </c>
      <c r="S7" s="39">
        <f>SUM(S8:S35)</f>
        <v/>
      </c>
      <c r="T7" s="39">
        <f>SUM(T8:T35)</f>
        <v/>
      </c>
    </row>
    <row r="8">
      <c r="A8" s="6" t="inlineStr">
        <is>
          <t>Balanced</t>
        </is>
      </c>
      <c r="B8" s="40" t="n"/>
      <c r="C8" s="7" t="n"/>
      <c r="D8" s="41" t="n"/>
      <c r="E8" s="37" t="n"/>
      <c r="F8" s="37" t="n"/>
      <c r="G8" s="37" t="n"/>
      <c r="H8" s="37" t="n"/>
      <c r="J8" s="41" t="n"/>
      <c r="K8" s="37" t="n"/>
      <c r="L8" s="37" t="n"/>
      <c r="M8" s="37" t="n"/>
      <c r="N8" s="37" t="n"/>
      <c r="Q8" s="42" t="n"/>
      <c r="R8" s="42" t="n"/>
      <c r="S8" s="42" t="n"/>
      <c r="T8" s="42" t="n"/>
    </row>
    <row r="9">
      <c r="A9" s="14" t="inlineStr">
        <is>
          <t>Bertini, Marco</t>
        </is>
      </c>
      <c r="B9" s="43" t="n">
        <v>112029.001</v>
      </c>
      <c r="C9" s="16" t="inlineStr">
        <is>
          <t>USD</t>
        </is>
      </c>
      <c r="D9" s="44">
        <f>SUMIFS(#REF!,#REF!,$B9,#REF!,#REF!)</f>
        <v/>
      </c>
      <c r="E9" s="45" t="n"/>
      <c r="F9" s="45" t="n"/>
      <c r="G9" s="45">
        <f>#REF!/$F$5</f>
        <v/>
      </c>
      <c r="H9" s="45">
        <f>MROUND(G9,1)*$F$5</f>
        <v/>
      </c>
      <c r="I9" s="46">
        <f>IFERROR(H9/INDEX(Data!$E:$E,MATCH($B9,Data!$B:$B,0)),0)</f>
        <v/>
      </c>
      <c r="J9" s="44">
        <f>SUMIFS(#REF!,#REF!,$B9,#REF!,#REF!)</f>
        <v/>
      </c>
      <c r="K9" s="45">
        <f>#REF!</f>
        <v/>
      </c>
      <c r="L9" s="45" t="n"/>
      <c r="M9" s="45">
        <f>#REF!/$L$5</f>
        <v/>
      </c>
      <c r="N9" s="45">
        <f>MROUND(M9,1)*$L$5</f>
        <v/>
      </c>
      <c r="O9" s="46">
        <f>IFERROR(N9/INDEX(Data!$E:$E,MATCH($B9,Data!$B:$B,0)),0)</f>
        <v/>
      </c>
      <c r="Q9" s="44">
        <f>IFERROR(INDEX(Data!$F:$F,MATCH($B9,Data!$B:$B,0)),0)</f>
        <v/>
      </c>
      <c r="R9" s="44">
        <f>SUMIFS('T bills'!$M:$M,'T bills'!$D:$D,$B9,'T bills'!$E:$E,"USD",'T bills'!$A:$A,"*Treasury Bills*")</f>
        <v/>
      </c>
      <c r="S9" s="44">
        <f>SUMIFS('T bills'!$M:$M,'T bills'!$D:$D,$B9,'T bills'!$E:$E,"EUR",'T bills'!$A:$A,"*Treasury Bills*")*$F$3</f>
        <v/>
      </c>
      <c r="T9" s="44">
        <f>SUM(Q9:S9)</f>
        <v/>
      </c>
    </row>
    <row r="10">
      <c r="A10" s="14" t="inlineStr">
        <is>
          <t>Laruffa, Alessia</t>
        </is>
      </c>
      <c r="B10" s="43" t="n">
        <v>1596151.001</v>
      </c>
      <c r="C10" s="16" t="inlineStr">
        <is>
          <t>EUR</t>
        </is>
      </c>
      <c r="D10" s="44">
        <f>SUMIFS(#REF!,#REF!,$B10,#REF!,#REF!)</f>
        <v/>
      </c>
      <c r="E10" s="45" t="n"/>
      <c r="F10" s="45" t="n"/>
      <c r="G10" s="45">
        <f>#REF!/$F$5</f>
        <v/>
      </c>
      <c r="H10" s="45">
        <f>MROUND(G10,1)*$F$5</f>
        <v/>
      </c>
      <c r="I10" s="46">
        <f>IFERROR(H10/INDEX(Data!$E:$E,MATCH($B10,Data!$B:$B,0)),0)</f>
        <v/>
      </c>
      <c r="J10" s="44">
        <f>SUMIFS(#REF!,#REF!,$B10,#REF!,#REF!)</f>
        <v/>
      </c>
      <c r="K10" s="45">
        <f>#REF!</f>
        <v/>
      </c>
      <c r="L10" s="45" t="n"/>
      <c r="M10" s="45">
        <f>#REF!/$L$5</f>
        <v/>
      </c>
      <c r="N10" s="45">
        <f>MROUND(M10,1)*$L$5</f>
        <v/>
      </c>
      <c r="O10" s="46">
        <f>IFERROR(N10/INDEX(Data!$E:$E,MATCH($B10,Data!$B:$B,0)),0)</f>
        <v/>
      </c>
      <c r="Q10" s="44">
        <f>IFERROR(INDEX(Data!$F:$F,MATCH($B10,Data!$B:$B,0)),0)</f>
        <v/>
      </c>
      <c r="R10" s="44">
        <f>SUMIFS('T bills'!$M:$M,'T bills'!$D:$D,$B10,'T bills'!$E:$E,"USD",'T bills'!$A:$A,"*Treasury Bills*")</f>
        <v/>
      </c>
      <c r="S10" s="44">
        <f>SUMIFS('T bills'!$M:$M,'T bills'!$D:$D,$B10,'T bills'!$E:$E,"EUR",'T bills'!$A:$A,"*Treasury Bills*")*$F$3</f>
        <v/>
      </c>
      <c r="T10" s="44">
        <f>SUM(Q10:S10)</f>
        <v/>
      </c>
    </row>
    <row r="11">
      <c r="A11" s="14" t="inlineStr">
        <is>
          <t>Laruffa, Serena</t>
        </is>
      </c>
      <c r="B11" s="43" t="n">
        <v>1596193.001</v>
      </c>
      <c r="C11" s="16" t="inlineStr">
        <is>
          <t>EUR</t>
        </is>
      </c>
      <c r="D11" s="44">
        <f>SUMIFS(#REF!,#REF!,$B11,#REF!,#REF!)</f>
        <v/>
      </c>
      <c r="E11" s="45" t="n"/>
      <c r="F11" s="45" t="n"/>
      <c r="G11" s="45">
        <f>#REF!/$F$5</f>
        <v/>
      </c>
      <c r="H11" s="45">
        <f>MROUND(G11,1)*$F$5</f>
        <v/>
      </c>
      <c r="I11" s="46">
        <f>IFERROR(H11/INDEX(Data!$E:$E,MATCH($B11,Data!$B:$B,0)),0)</f>
        <v/>
      </c>
      <c r="J11" s="44">
        <f>SUMIFS(#REF!,#REF!,$B11,#REF!,#REF!)</f>
        <v/>
      </c>
      <c r="K11" s="45">
        <f>#REF!</f>
        <v/>
      </c>
      <c r="L11" s="45" t="n"/>
      <c r="M11" s="45">
        <f>#REF!/$L$5</f>
        <v/>
      </c>
      <c r="N11" s="45">
        <f>MROUND(M11,1)*$L$5</f>
        <v/>
      </c>
      <c r="O11" s="46">
        <f>IFERROR(N11/INDEX(Data!$E:$E,MATCH($B11,Data!$B:$B,0)),0)</f>
        <v/>
      </c>
      <c r="Q11" s="44">
        <f>IFERROR(INDEX(Data!$F:$F,MATCH($B11,Data!$B:$B,0)),0)</f>
        <v/>
      </c>
      <c r="R11" s="44">
        <f>SUMIFS('T bills'!$M:$M,'T bills'!$D:$D,$B11,'T bills'!$E:$E,"USD",'T bills'!$A:$A,"*Treasury Bills*")</f>
        <v/>
      </c>
      <c r="S11" s="44">
        <f>SUMIFS('T bills'!$M:$M,'T bills'!$D:$D,$B11,'T bills'!$E:$E,"EUR",'T bills'!$A:$A,"*Treasury Bills*")*$F$3</f>
        <v/>
      </c>
      <c r="T11" s="44">
        <f>SUM(Q11:S11)</f>
        <v/>
      </c>
    </row>
    <row r="12">
      <c r="A12" s="14" t="inlineStr">
        <is>
          <t>Siciliano, Rosanna</t>
        </is>
      </c>
      <c r="B12" s="43" t="n">
        <v>1597944.001</v>
      </c>
      <c r="C12" s="16" t="inlineStr">
        <is>
          <t>EUR</t>
        </is>
      </c>
      <c r="D12" s="44">
        <f>SUMIFS(#REF!,#REF!,$B12,#REF!,#REF!)</f>
        <v/>
      </c>
      <c r="E12" s="45" t="n"/>
      <c r="F12" s="45" t="n"/>
      <c r="G12" s="45">
        <f>#REF!/$F$5</f>
        <v/>
      </c>
      <c r="H12" s="45">
        <f>MROUND(G12,1)*$F$5</f>
        <v/>
      </c>
      <c r="I12" s="46">
        <f>IFERROR(H12/INDEX(Data!$E:$E,MATCH($B12,Data!$B:$B,0)),0)</f>
        <v/>
      </c>
      <c r="J12" s="44">
        <f>SUMIFS(#REF!,#REF!,$B12,#REF!,#REF!)</f>
        <v/>
      </c>
      <c r="K12" s="45">
        <f>#REF!</f>
        <v/>
      </c>
      <c r="L12" s="45" t="n"/>
      <c r="M12" s="45">
        <f>#REF!/$L$5</f>
        <v/>
      </c>
      <c r="N12" s="45">
        <f>MROUND(M12,1)*$L$5</f>
        <v/>
      </c>
      <c r="O12" s="46">
        <f>IFERROR(N12/INDEX(Data!$E:$E,MATCH($B12,Data!$B:$B,0)),0)</f>
        <v/>
      </c>
      <c r="Q12" s="44">
        <f>IFERROR(INDEX(Data!$F:$F,MATCH($B12,Data!$B:$B,0)),0)</f>
        <v/>
      </c>
      <c r="R12" s="44">
        <f>SUMIFS('T bills'!$M:$M,'T bills'!$D:$D,$B12,'T bills'!$E:$E,"USD",'T bills'!$A:$A,"*Treasury Bills*")</f>
        <v/>
      </c>
      <c r="S12" s="44">
        <f>SUMIFS('T bills'!$M:$M,'T bills'!$D:$D,$B12,'T bills'!$E:$E,"EUR",'T bills'!$A:$A,"*Treasury Bills*")*$F$3</f>
        <v/>
      </c>
      <c r="T12" s="44">
        <f>SUM(Q12:S12)</f>
        <v/>
      </c>
    </row>
    <row r="13">
      <c r="A13" s="14" t="inlineStr">
        <is>
          <t>Ancona, Giselda</t>
        </is>
      </c>
      <c r="B13" s="43" t="n">
        <v>1648638.001</v>
      </c>
      <c r="C13" s="16" t="inlineStr">
        <is>
          <t>EUR</t>
        </is>
      </c>
      <c r="D13" s="44">
        <f>SUMIFS(#REF!,#REF!,$B13,#REF!,#REF!)</f>
        <v/>
      </c>
      <c r="E13" s="45" t="n"/>
      <c r="F13" s="45" t="n"/>
      <c r="G13" s="45">
        <f>#REF!/$F$5</f>
        <v/>
      </c>
      <c r="H13" s="45">
        <f>MROUND(G13,1)*$F$5</f>
        <v/>
      </c>
      <c r="I13" s="46">
        <f>IFERROR(H13/INDEX(Data!$E:$E,MATCH($B13,Data!$B:$B,0)),0)</f>
        <v/>
      </c>
      <c r="J13" s="44">
        <f>SUMIFS(#REF!,#REF!,$B13,#REF!,#REF!)</f>
        <v/>
      </c>
      <c r="K13" s="45">
        <f>#REF!</f>
        <v/>
      </c>
      <c r="L13" s="45" t="n"/>
      <c r="M13" s="45">
        <f>#REF!/$L$5</f>
        <v/>
      </c>
      <c r="N13" s="45">
        <f>MROUND(M13,1)*$L$5</f>
        <v/>
      </c>
      <c r="O13" s="46">
        <f>IFERROR(N13/INDEX(Data!$E:$E,MATCH($B13,Data!$B:$B,0)),0)</f>
        <v/>
      </c>
      <c r="Q13" s="44">
        <f>IFERROR(INDEX(Data!$F:$F,MATCH($B13,Data!$B:$B,0)),0)</f>
        <v/>
      </c>
      <c r="R13" s="44">
        <f>SUMIFS('T bills'!$M:$M,'T bills'!$D:$D,$B13,'T bills'!$E:$E,"USD",'T bills'!$A:$A,"*Treasury Bills*")</f>
        <v/>
      </c>
      <c r="S13" s="44">
        <f>SUMIFS('T bills'!$M:$M,'T bills'!$D:$D,$B13,'T bills'!$E:$E,"EUR",'T bills'!$A:$A,"*Treasury Bills*")*$F$3</f>
        <v/>
      </c>
      <c r="T13" s="44">
        <f>SUM(Q13:S13)</f>
        <v/>
      </c>
    </row>
    <row r="14">
      <c r="A14" s="14" t="inlineStr">
        <is>
          <t>Minardi, Mario Paolo</t>
        </is>
      </c>
      <c r="B14" s="43" t="n">
        <v>1650579.001</v>
      </c>
      <c r="C14" s="16" t="inlineStr">
        <is>
          <t>EUR</t>
        </is>
      </c>
      <c r="D14" s="44">
        <f>SUMIFS(#REF!,#REF!,$B14,#REF!,#REF!)</f>
        <v/>
      </c>
      <c r="E14" s="45" t="n"/>
      <c r="F14" s="45" t="n"/>
      <c r="G14" s="45">
        <f>#REF!/$F$5</f>
        <v/>
      </c>
      <c r="H14" s="45">
        <f>MROUND(G14,1)*$F$5</f>
        <v/>
      </c>
      <c r="I14" s="46">
        <f>IFERROR(H14/INDEX(Data!$E:$E,MATCH($B14,Data!$B:$B,0)),0)</f>
        <v/>
      </c>
      <c r="J14" s="44">
        <f>SUMIFS(#REF!,#REF!,$B14,#REF!,#REF!)</f>
        <v/>
      </c>
      <c r="K14" s="45">
        <f>#REF!</f>
        <v/>
      </c>
      <c r="L14" s="45" t="n"/>
      <c r="M14" s="45">
        <f>#REF!/$L$5</f>
        <v/>
      </c>
      <c r="N14" s="45">
        <f>MROUND(M14,1)*$L$5</f>
        <v/>
      </c>
      <c r="O14" s="46">
        <f>IFERROR(N14/INDEX(Data!$E:$E,MATCH($B14,Data!$B:$B,0)),0)</f>
        <v/>
      </c>
      <c r="Q14" s="44">
        <f>IFERROR(INDEX(Data!$F:$F,MATCH($B14,Data!$B:$B,0)),0)</f>
        <v/>
      </c>
      <c r="R14" s="44">
        <f>SUMIFS('T bills'!$M:$M,'T bills'!$D:$D,$B14,'T bills'!$E:$E,"USD",'T bills'!$A:$A,"*Treasury Bills*")</f>
        <v/>
      </c>
      <c r="S14" s="44">
        <f>SUMIFS('T bills'!$M:$M,'T bills'!$D:$D,$B14,'T bills'!$E:$E,"EUR",'T bills'!$A:$A,"*Treasury Bills*")*$F$3</f>
        <v/>
      </c>
      <c r="T14" s="44">
        <f>SUM(Q14:S14)</f>
        <v/>
      </c>
    </row>
    <row r="15">
      <c r="A15" s="14" t="inlineStr">
        <is>
          <t>Marchesi, Riccardo</t>
        </is>
      </c>
      <c r="B15" s="43" t="n">
        <v>1592866.001</v>
      </c>
      <c r="C15" s="16" t="inlineStr">
        <is>
          <t>EUR</t>
        </is>
      </c>
      <c r="D15" s="44">
        <f>SUMIFS(#REF!,#REF!,$B15,#REF!,#REF!)</f>
        <v/>
      </c>
      <c r="E15" s="45" t="n"/>
      <c r="F15" s="45" t="n"/>
      <c r="G15" s="45">
        <f>#REF!/$F$5</f>
        <v/>
      </c>
      <c r="H15" s="45">
        <f>MROUND(G15,1)*$F$5</f>
        <v/>
      </c>
      <c r="I15" s="46">
        <f>IFERROR(H15/INDEX(Data!$E:$E,MATCH($B15,Data!$B:$B,0)),0)</f>
        <v/>
      </c>
      <c r="J15" s="44">
        <f>SUMIFS(#REF!,#REF!,$B15,#REF!,#REF!)</f>
        <v/>
      </c>
      <c r="K15" s="45">
        <f>#REF!</f>
        <v/>
      </c>
      <c r="L15" s="45" t="n"/>
      <c r="M15" s="45">
        <f>#REF!/$L$5</f>
        <v/>
      </c>
      <c r="N15" s="45">
        <f>MROUND(M15,1)*$L$5</f>
        <v/>
      </c>
      <c r="O15" s="46">
        <f>IFERROR(N15/INDEX(Data!$E:$E,MATCH($B15,Data!$B:$B,0)),0)</f>
        <v/>
      </c>
      <c r="Q15" s="44">
        <f>IFERROR(INDEX(Data!$F:$F,MATCH($B15,Data!$B:$B,0)),0)</f>
        <v/>
      </c>
      <c r="R15" s="44">
        <f>SUMIFS('T bills'!$M:$M,'T bills'!$D:$D,$B15,'T bills'!$E:$E,"USD",'T bills'!$A:$A,"*Treasury Bills*")</f>
        <v/>
      </c>
      <c r="S15" s="44">
        <f>SUMIFS('T bills'!$M:$M,'T bills'!$D:$D,$B15,'T bills'!$E:$E,"EUR",'T bills'!$A:$A,"*Treasury Bills*")*$F$3</f>
        <v/>
      </c>
      <c r="T15" s="44">
        <f>SUM(Q15:S15)</f>
        <v/>
      </c>
    </row>
    <row r="16">
      <c r="A16" s="14" t="inlineStr">
        <is>
          <t>Cariboni, Elisa</t>
        </is>
      </c>
      <c r="B16" s="43" t="n">
        <v>1600379.001</v>
      </c>
      <c r="C16" s="16" t="inlineStr">
        <is>
          <t>EUR</t>
        </is>
      </c>
      <c r="D16" s="44">
        <f>SUMIFS(#REF!,#REF!,$B16,#REF!,#REF!)</f>
        <v/>
      </c>
      <c r="E16" s="45" t="n"/>
      <c r="F16" s="45" t="n"/>
      <c r="G16" s="45">
        <f>#REF!/$F$5</f>
        <v/>
      </c>
      <c r="H16" s="45">
        <f>MROUND(G16,1)*$F$5</f>
        <v/>
      </c>
      <c r="I16" s="46">
        <f>IFERROR(H16/INDEX(Data!$E:$E,MATCH($B16,Data!$B:$B,0)),0)</f>
        <v/>
      </c>
      <c r="J16" s="44">
        <f>SUMIFS(#REF!,#REF!,$B16,#REF!,#REF!)</f>
        <v/>
      </c>
      <c r="K16" s="45">
        <f>#REF!</f>
        <v/>
      </c>
      <c r="L16" s="45" t="n"/>
      <c r="M16" s="45">
        <f>#REF!/$L$5</f>
        <v/>
      </c>
      <c r="N16" s="45">
        <f>MROUND(M16,1)*$L$5</f>
        <v/>
      </c>
      <c r="O16" s="46">
        <f>IFERROR(N16/INDEX(Data!$E:$E,MATCH($B16,Data!$B:$B,0)),0)</f>
        <v/>
      </c>
      <c r="Q16" s="44">
        <f>IFERROR(INDEX(Data!$F:$F,MATCH($B16,Data!$B:$B,0)),0)</f>
        <v/>
      </c>
      <c r="R16" s="44">
        <f>SUMIFS('T bills'!$M:$M,'T bills'!$D:$D,$B16,'T bills'!$E:$E,"USD",'T bills'!$A:$A,"*Treasury Bills*")</f>
        <v/>
      </c>
      <c r="S16" s="44">
        <f>SUMIFS('T bills'!$M:$M,'T bills'!$D:$D,$B16,'T bills'!$E:$E,"EUR",'T bills'!$A:$A,"*Treasury Bills*")*$F$3</f>
        <v/>
      </c>
      <c r="T16" s="44">
        <f>SUM(Q16:S16)</f>
        <v/>
      </c>
    </row>
    <row r="17">
      <c r="A17" s="6" t="inlineStr">
        <is>
          <t>Equity</t>
        </is>
      </c>
      <c r="B17" s="40" t="n"/>
      <c r="C17" s="7" t="n"/>
      <c r="D17" s="41" t="n"/>
      <c r="E17" s="37" t="n"/>
      <c r="F17" s="37" t="n"/>
      <c r="G17" s="37" t="n"/>
      <c r="H17" s="37" t="n"/>
      <c r="J17" s="41" t="n"/>
      <c r="K17" s="37" t="n"/>
      <c r="L17" s="37" t="n"/>
      <c r="M17" s="37" t="n"/>
      <c r="N17" s="37" t="n"/>
      <c r="Q17" s="42" t="n"/>
      <c r="R17" s="42" t="n"/>
      <c r="S17" s="42" t="n"/>
      <c r="T17" s="42" t="n"/>
    </row>
    <row r="18">
      <c r="A18" s="14" t="inlineStr">
        <is>
          <t>Laruffa, Sergio</t>
        </is>
      </c>
      <c r="B18" s="43" t="n">
        <v>1591822.001</v>
      </c>
      <c r="C18" s="16" t="inlineStr">
        <is>
          <t>USD</t>
        </is>
      </c>
      <c r="D18" s="44">
        <f>SUMIFS(#REF!,#REF!,$B18,#REF!,#REF!)</f>
        <v/>
      </c>
      <c r="E18" s="45" t="n"/>
      <c r="F18" s="45" t="n"/>
      <c r="G18" s="45">
        <f>#REF!/$F$5</f>
        <v/>
      </c>
      <c r="H18" s="45">
        <f>MROUND(G18,1)*$F$5</f>
        <v/>
      </c>
      <c r="I18" s="46">
        <f>IFERROR(H18/INDEX(Data!$E:$E,MATCH($B18,Data!$B:$B,0)),0)</f>
        <v/>
      </c>
      <c r="J18" s="44">
        <f>SUMIFS(#REF!,#REF!,$B18,#REF!,#REF!)</f>
        <v/>
      </c>
      <c r="K18" s="45">
        <f>#REF!</f>
        <v/>
      </c>
      <c r="L18" s="45" t="n"/>
      <c r="M18" s="45">
        <f>#REF!/$L$5</f>
        <v/>
      </c>
      <c r="N18" s="45">
        <f>MROUND(M18,1)*$L$5</f>
        <v/>
      </c>
      <c r="O18" s="46">
        <f>IFERROR(N18/INDEX(Data!$E:$E,MATCH($B18,Data!$B:$B,0)),0)</f>
        <v/>
      </c>
      <c r="Q18" s="44">
        <f>IFERROR(INDEX(Data!$F:$F,MATCH($B18,Data!$B:$B,0)),0)</f>
        <v/>
      </c>
      <c r="R18" s="44">
        <f>SUMIFS('T bills'!$M:$M,'T bills'!$D:$D,$B18,'T bills'!$E:$E,"USD",'T bills'!$A:$A,"*Treasury Bills*")</f>
        <v/>
      </c>
      <c r="S18" s="44">
        <f>SUMIFS('T bills'!$M:$M,'T bills'!$D:$D,$B18,'T bills'!$E:$E,"EUR",'T bills'!$A:$A,"*Treasury Bills*")*$F$3</f>
        <v/>
      </c>
      <c r="T18" s="44">
        <f>SUM(Q18:S18)</f>
        <v/>
      </c>
    </row>
    <row r="19">
      <c r="A19" s="14" t="inlineStr">
        <is>
          <t>Bucchioni, Fabio</t>
        </is>
      </c>
      <c r="B19" s="43" t="n">
        <v>1592092.001</v>
      </c>
      <c r="C19" s="16" t="inlineStr">
        <is>
          <t>EUR</t>
        </is>
      </c>
      <c r="D19" s="44">
        <f>SUMIFS(#REF!,#REF!,$B19,#REF!,#REF!)</f>
        <v/>
      </c>
      <c r="E19" s="45" t="n"/>
      <c r="F19" s="45" t="n"/>
      <c r="G19" s="45">
        <f>#REF!/$F$5</f>
        <v/>
      </c>
      <c r="H19" s="45">
        <f>MROUND(G19,1)*$F$5</f>
        <v/>
      </c>
      <c r="I19" s="46">
        <f>IFERROR(H19/INDEX(Data!$E:$E,MATCH($B19,Data!$B:$B,0)),0)</f>
        <v/>
      </c>
      <c r="J19" s="44">
        <f>SUMIFS(#REF!,#REF!,$B19,#REF!,#REF!)</f>
        <v/>
      </c>
      <c r="K19" s="45">
        <f>#REF!</f>
        <v/>
      </c>
      <c r="L19" s="45" t="n"/>
      <c r="M19" s="45">
        <f>#REF!/$L$5</f>
        <v/>
      </c>
      <c r="N19" s="45">
        <f>MROUND(M19,1)*$L$5</f>
        <v/>
      </c>
      <c r="O19" s="46">
        <f>IFERROR(N19/INDEX(Data!$E:$E,MATCH($B19,Data!$B:$B,0)),0)</f>
        <v/>
      </c>
      <c r="Q19" s="44">
        <f>IFERROR(INDEX(Data!$F:$F,MATCH($B19,Data!$B:$B,0)),0)</f>
        <v/>
      </c>
      <c r="R19" s="44">
        <f>SUMIFS('T bills'!$M:$M,'T bills'!$D:$D,$B19,'T bills'!$E:$E,"USD",'T bills'!$A:$A,"*Treasury Bills*")</f>
        <v/>
      </c>
      <c r="S19" s="44">
        <f>SUMIFS('T bills'!$M:$M,'T bills'!$D:$D,$B19,'T bills'!$E:$E,"EUR",'T bills'!$A:$A,"*Treasury Bills*")*$F$3</f>
        <v/>
      </c>
      <c r="T19" s="44">
        <f>SUM(Q19:S19)</f>
        <v/>
      </c>
    </row>
    <row r="20">
      <c r="A20" s="14" t="inlineStr">
        <is>
          <t>Galli, Federico</t>
        </is>
      </c>
      <c r="B20" s="43" t="n">
        <v>1621661.001</v>
      </c>
      <c r="C20" s="16" t="inlineStr">
        <is>
          <t>EUR</t>
        </is>
      </c>
      <c r="D20" s="44">
        <f>SUMIFS(#REF!,#REF!,$B20,#REF!,#REF!)</f>
        <v/>
      </c>
      <c r="E20" s="45" t="n"/>
      <c r="F20" s="45" t="n"/>
      <c r="G20" s="45">
        <f>#REF!/$F$5</f>
        <v/>
      </c>
      <c r="H20" s="45">
        <f>MROUND(G20,1)*$F$5</f>
        <v/>
      </c>
      <c r="I20" s="46">
        <f>IFERROR(H20/INDEX(Data!$E:$E,MATCH($B20,Data!$B:$B,0)),0)</f>
        <v/>
      </c>
      <c r="J20" s="44">
        <f>SUMIFS(#REF!,#REF!,$B20,#REF!,#REF!)</f>
        <v/>
      </c>
      <c r="K20" s="45">
        <f>#REF!</f>
        <v/>
      </c>
      <c r="L20" s="45" t="n"/>
      <c r="M20" s="45">
        <f>#REF!/$L$5</f>
        <v/>
      </c>
      <c r="N20" s="45">
        <f>MROUND(M20,1)*$L$5</f>
        <v/>
      </c>
      <c r="O20" s="46">
        <f>IFERROR(N20/INDEX(Data!$E:$E,MATCH($B20,Data!$B:$B,0)),0)</f>
        <v/>
      </c>
      <c r="Q20" s="44">
        <f>IFERROR(INDEX(Data!$F:$F,MATCH($B20,Data!$B:$B,0)),0)</f>
        <v/>
      </c>
      <c r="R20" s="44">
        <f>SUMIFS('T bills'!$M:$M,'T bills'!$D:$D,$B20,'T bills'!$E:$E,"USD",'T bills'!$A:$A,"*Treasury Bills*")</f>
        <v/>
      </c>
      <c r="S20" s="44">
        <f>SUMIFS('T bills'!$M:$M,'T bills'!$D:$D,$B20,'T bills'!$E:$E,"EUR",'T bills'!$A:$A,"*Treasury Bills*")*$F$3</f>
        <v/>
      </c>
      <c r="T20" s="44">
        <f>SUM(Q20:S20)</f>
        <v/>
      </c>
    </row>
    <row r="21">
      <c r="A21" s="14" t="inlineStr">
        <is>
          <t>Terenzi, Federico</t>
        </is>
      </c>
      <c r="B21" s="43" t="n">
        <v>1620379.001</v>
      </c>
      <c r="C21" s="16" t="inlineStr">
        <is>
          <t>EUR</t>
        </is>
      </c>
      <c r="D21" s="44">
        <f>SUMIFS(#REF!,#REF!,$B21,#REF!,#REF!)</f>
        <v/>
      </c>
      <c r="E21" s="45" t="n"/>
      <c r="F21" s="45" t="n"/>
      <c r="G21" s="45">
        <f>#REF!/$F$5</f>
        <v/>
      </c>
      <c r="H21" s="45">
        <f>MROUND(G21,1)*$F$5</f>
        <v/>
      </c>
      <c r="I21" s="46">
        <f>IFERROR(H21/INDEX(Data!$E:$E,MATCH($B21,Data!$B:$B,0)),0)</f>
        <v/>
      </c>
      <c r="J21" s="44">
        <f>SUMIFS(#REF!,#REF!,$B21,#REF!,#REF!)</f>
        <v/>
      </c>
      <c r="K21" s="45">
        <f>#REF!</f>
        <v/>
      </c>
      <c r="L21" s="45" t="n"/>
      <c r="M21" s="45">
        <f>#REF!/$L$5</f>
        <v/>
      </c>
      <c r="N21" s="45">
        <f>MROUND(M21,1)*$L$5</f>
        <v/>
      </c>
      <c r="O21" s="46">
        <f>IFERROR(N21/INDEX(Data!$E:$E,MATCH($B21,Data!$B:$B,0)),0)</f>
        <v/>
      </c>
      <c r="Q21" s="44">
        <f>IFERROR(INDEX(Data!$F:$F,MATCH($B21,Data!$B:$B,0)),0)</f>
        <v/>
      </c>
      <c r="R21" s="44">
        <f>SUMIFS('T bills'!$M:$M,'T bills'!$D:$D,$B21,'T bills'!$E:$E,"USD",'T bills'!$A:$A,"*Treasury Bills*")</f>
        <v/>
      </c>
      <c r="S21" s="44">
        <f>SUMIFS('T bills'!$M:$M,'T bills'!$D:$D,$B21,'T bills'!$E:$E,"EUR",'T bills'!$A:$A,"*Treasury Bills*")*$F$3</f>
        <v/>
      </c>
      <c r="T21" s="44">
        <f>SUM(Q21:S21)</f>
        <v/>
      </c>
    </row>
    <row r="22">
      <c r="A22" s="14" t="inlineStr">
        <is>
          <t>Simon Fiduciaria S.p.A. #1</t>
        </is>
      </c>
      <c r="B22" s="43" t="n">
        <v>1660666.001</v>
      </c>
      <c r="C22" s="16" t="inlineStr">
        <is>
          <t>EUR</t>
        </is>
      </c>
      <c r="D22" s="44">
        <f>SUMIFS(#REF!,#REF!,$B22,#REF!,#REF!)</f>
        <v/>
      </c>
      <c r="E22" s="45" t="n"/>
      <c r="F22" s="45" t="n"/>
      <c r="G22" s="45">
        <f>#REF!/$F$5</f>
        <v/>
      </c>
      <c r="H22" s="45">
        <f>MROUND(G22,1)*$F$5</f>
        <v/>
      </c>
      <c r="I22" s="46">
        <f>IFERROR(H22/INDEX(Data!$E:$E,MATCH($B22,Data!$B:$B,0)),0)</f>
        <v/>
      </c>
      <c r="J22" s="44">
        <f>SUMIFS(#REF!,#REF!,$B22,#REF!,#REF!)</f>
        <v/>
      </c>
      <c r="K22" s="45">
        <f>#REF!</f>
        <v/>
      </c>
      <c r="L22" s="45" t="n"/>
      <c r="M22" s="45">
        <f>#REF!/$L$5</f>
        <v/>
      </c>
      <c r="N22" s="45">
        <f>MROUND(M22,1)*$L$5</f>
        <v/>
      </c>
      <c r="O22" s="46">
        <f>IFERROR(N22/INDEX(Data!$E:$E,MATCH($B22,Data!$B:$B,0)),0)</f>
        <v/>
      </c>
      <c r="Q22" s="44">
        <f>IFERROR(INDEX(Data!$F:$F,MATCH($B22,Data!$B:$B,0)),0)</f>
        <v/>
      </c>
      <c r="R22" s="44">
        <f>SUMIFS('T bills'!$M:$M,'T bills'!$D:$D,$B22,'T bills'!$E:$E,"USD",'T bills'!$A:$A,"*Treasury Bills*")</f>
        <v/>
      </c>
      <c r="S22" s="44">
        <f>SUMIFS('T bills'!$M:$M,'T bills'!$D:$D,$B22,'T bills'!$E:$E,"EUR",'T bills'!$A:$A,"*Treasury Bills*")*$F$3</f>
        <v/>
      </c>
      <c r="T22" s="44">
        <f>SUM(Q22:S22)</f>
        <v/>
      </c>
    </row>
    <row r="23">
      <c r="A23" s="14" t="inlineStr">
        <is>
          <t>Simon Fiduciaria S.p.A. #3</t>
        </is>
      </c>
      <c r="B23" s="43" t="n">
        <v>1660666.003</v>
      </c>
      <c r="C23" s="16" t="inlineStr">
        <is>
          <t>EUR</t>
        </is>
      </c>
      <c r="D23" s="44">
        <f>SUMIFS(#REF!,#REF!,$B23,#REF!,#REF!)</f>
        <v/>
      </c>
      <c r="E23" s="45" t="n"/>
      <c r="F23" s="45" t="n"/>
      <c r="G23" s="45">
        <f>#REF!/$F$5</f>
        <v/>
      </c>
      <c r="H23" s="45">
        <f>MROUND(G23,1)*$F$5</f>
        <v/>
      </c>
      <c r="I23" s="46">
        <f>IFERROR(H23/INDEX(Data!$E:$E,MATCH($B23,Data!$B:$B,0)),0)</f>
        <v/>
      </c>
      <c r="J23" s="44">
        <f>SUMIFS(#REF!,#REF!,$B23,#REF!,#REF!)</f>
        <v/>
      </c>
      <c r="K23" s="45">
        <f>#REF!</f>
        <v/>
      </c>
      <c r="L23" s="45" t="n"/>
      <c r="M23" s="45">
        <f>#REF!/$L$5</f>
        <v/>
      </c>
      <c r="N23" s="45">
        <f>MROUND(M23,1)*$L$5</f>
        <v/>
      </c>
      <c r="O23" s="46">
        <f>IFERROR(N23/INDEX(Data!$E:$E,MATCH($B23,Data!$B:$B,0)),0)</f>
        <v/>
      </c>
      <c r="Q23" s="44">
        <f>IFERROR(INDEX(Data!$F:$F,MATCH($B23,Data!$B:$B,0)),0)</f>
        <v/>
      </c>
      <c r="R23" s="44">
        <f>SUMIFS('T bills'!$M:$M,'T bills'!$D:$D,$B23,'T bills'!$E:$E,"USD",'T bills'!$A:$A,"*Treasury Bills*")</f>
        <v/>
      </c>
      <c r="S23" s="44">
        <f>SUMIFS('T bills'!$M:$M,'T bills'!$D:$D,$B23,'T bills'!$E:$E,"EUR",'T bills'!$A:$A,"*Treasury Bills*")*$F$3</f>
        <v/>
      </c>
      <c r="T23" s="44">
        <f>SUM(Q23:S23)</f>
        <v/>
      </c>
    </row>
    <row r="24">
      <c r="A24" s="14" t="inlineStr">
        <is>
          <t>Fariniundici S.p.A.</t>
        </is>
      </c>
      <c r="B24" s="43" t="n">
        <v>1644446.001</v>
      </c>
      <c r="C24" s="16" t="inlineStr">
        <is>
          <t>EUR</t>
        </is>
      </c>
      <c r="D24" s="44">
        <f>SUMIFS(#REF!,#REF!,$B24,#REF!,#REF!)</f>
        <v/>
      </c>
      <c r="E24" s="45" t="n"/>
      <c r="F24" s="45" t="n"/>
      <c r="G24" s="45">
        <f>#REF!/$F$5</f>
        <v/>
      </c>
      <c r="H24" s="45">
        <f>MROUND(G24,1)*$F$5</f>
        <v/>
      </c>
      <c r="I24" s="46">
        <f>IFERROR(H24/INDEX(Data!$E:$E,MATCH($B24,Data!$B:$B,0)),0)</f>
        <v/>
      </c>
      <c r="J24" s="44">
        <f>SUMIFS(#REF!,#REF!,$B24,#REF!,#REF!)</f>
        <v/>
      </c>
      <c r="K24" s="45">
        <f>#REF!</f>
        <v/>
      </c>
      <c r="L24" s="45" t="n"/>
      <c r="M24" s="45">
        <f>#REF!/$L$5</f>
        <v/>
      </c>
      <c r="N24" s="45">
        <f>MROUND(M24,1)*$L$5</f>
        <v/>
      </c>
      <c r="O24" s="46">
        <f>IFERROR(N24/INDEX(Data!$E:$E,MATCH($B24,Data!$B:$B,0)),0)</f>
        <v/>
      </c>
      <c r="Q24" s="44">
        <f>IFERROR(INDEX(Data!$F:$F,MATCH($B24,Data!$B:$B,0)),0)</f>
        <v/>
      </c>
      <c r="R24" s="44">
        <f>SUMIFS('T bills'!$M:$M,'T bills'!$D:$D,$B24,'T bills'!$E:$E,"USD",'T bills'!$A:$A,"*Treasury Bills*")</f>
        <v/>
      </c>
      <c r="S24" s="44">
        <f>SUMIFS('T bills'!$M:$M,'T bills'!$D:$D,$B24,'T bills'!$E:$E,"EUR",'T bills'!$A:$A,"*Treasury Bills*")*$F$3</f>
        <v/>
      </c>
      <c r="T24" s="44">
        <f>SUM(Q24:S24)</f>
        <v/>
      </c>
    </row>
    <row r="25">
      <c r="A25" s="14" t="inlineStr">
        <is>
          <t>BISVALLES ASSETS INC.</t>
        </is>
      </c>
      <c r="B25" s="43" t="n">
        <v>1649314.001</v>
      </c>
      <c r="C25" s="16" t="inlineStr">
        <is>
          <t>EUR</t>
        </is>
      </c>
      <c r="D25" s="44">
        <f>SUMIFS(#REF!,#REF!,$B25,#REF!,#REF!)</f>
        <v/>
      </c>
      <c r="E25" s="45" t="n"/>
      <c r="F25" s="45" t="n"/>
      <c r="G25" s="45">
        <f>#REF!/$F$5</f>
        <v/>
      </c>
      <c r="H25" s="45">
        <f>MROUND(G25,1)*$F$5</f>
        <v/>
      </c>
      <c r="I25" s="46">
        <f>IFERROR(H25/INDEX(Data!$E:$E,MATCH($B25,Data!$B:$B,0)),0)</f>
        <v/>
      </c>
      <c r="J25" s="44">
        <f>SUMIFS(#REF!,#REF!,$B25,#REF!,#REF!)</f>
        <v/>
      </c>
      <c r="K25" s="45">
        <f>#REF!</f>
        <v/>
      </c>
      <c r="L25" s="45" t="n"/>
      <c r="M25" s="45">
        <f>#REF!/$L$5</f>
        <v/>
      </c>
      <c r="N25" s="45">
        <f>MROUND(M25,1)*$L$5</f>
        <v/>
      </c>
      <c r="O25" s="46">
        <f>IFERROR(N25/INDEX(Data!$E:$E,MATCH($B25,Data!$B:$B,0)),0)</f>
        <v/>
      </c>
      <c r="Q25" s="44">
        <f>IFERROR(INDEX(Data!$F:$F,MATCH($B25,Data!$B:$B,0)),0)</f>
        <v/>
      </c>
      <c r="R25" s="44">
        <f>SUMIFS('T bills'!$M:$M,'T bills'!$D:$D,$B25,'T bills'!$E:$E,"USD",'T bills'!$A:$A,"*Treasury Bills*")</f>
        <v/>
      </c>
      <c r="S25" s="44">
        <f>SUMIFS('T bills'!$M:$M,'T bills'!$D:$D,$B25,'T bills'!$E:$E,"EUR",'T bills'!$A:$A,"*Treasury Bills*")*$F$3</f>
        <v/>
      </c>
      <c r="T25" s="44">
        <f>SUM(Q25:S25)</f>
        <v/>
      </c>
    </row>
    <row r="26">
      <c r="A26" s="14" t="inlineStr">
        <is>
          <t>Petrassi, Raffaele</t>
        </is>
      </c>
      <c r="B26" s="43" t="n">
        <v>1656189.001</v>
      </c>
      <c r="C26" s="16" t="inlineStr">
        <is>
          <t>EUR</t>
        </is>
      </c>
      <c r="D26" s="44">
        <f>SUMIFS(#REF!,#REF!,$B26,#REF!,#REF!)</f>
        <v/>
      </c>
      <c r="E26" s="45" t="n"/>
      <c r="F26" s="45" t="n"/>
      <c r="G26" s="45">
        <f>#REF!/$F$5</f>
        <v/>
      </c>
      <c r="H26" s="45">
        <f>MROUND(G26,1)*$F$5</f>
        <v/>
      </c>
      <c r="I26" s="46">
        <f>IFERROR(H26/INDEX(Data!$E:$E,MATCH($B26,Data!$B:$B,0)),0)</f>
        <v/>
      </c>
      <c r="J26" s="44">
        <f>SUMIFS(#REF!,#REF!,$B26,#REF!,#REF!)</f>
        <v/>
      </c>
      <c r="K26" s="45">
        <f>#REF!</f>
        <v/>
      </c>
      <c r="L26" s="45" t="n"/>
      <c r="M26" s="45">
        <f>#REF!/$L$5</f>
        <v/>
      </c>
      <c r="N26" s="45">
        <f>MROUND(M26,1)*$L$5</f>
        <v/>
      </c>
      <c r="O26" s="46">
        <f>IFERROR(N26/INDEX(Data!$E:$E,MATCH($B26,Data!$B:$B,0)),0)</f>
        <v/>
      </c>
      <c r="Q26" s="44">
        <f>IFERROR(INDEX(Data!$F:$F,MATCH($B26,Data!$B:$B,0)),0)</f>
        <v/>
      </c>
      <c r="R26" s="44">
        <f>SUMIFS('T bills'!$M:$M,'T bills'!$D:$D,$B26,'T bills'!$E:$E,"USD",'T bills'!$A:$A,"*Treasury Bills*")</f>
        <v/>
      </c>
      <c r="S26" s="44">
        <f>SUMIFS('T bills'!$M:$M,'T bills'!$D:$D,$B26,'T bills'!$E:$E,"EUR",'T bills'!$A:$A,"*Treasury Bills*")*$F$3</f>
        <v/>
      </c>
      <c r="T26" s="44">
        <f>SUM(Q26:S26)</f>
        <v/>
      </c>
    </row>
    <row r="27">
      <c r="A27" s="14" t="inlineStr">
        <is>
          <t>Virlinzi, Francesco</t>
        </is>
      </c>
      <c r="B27" s="43" t="n">
        <v>1648903.001</v>
      </c>
      <c r="C27" s="16" t="inlineStr">
        <is>
          <t>EUR</t>
        </is>
      </c>
      <c r="D27" s="44">
        <f>SUMIFS(#REF!,#REF!,$B27,#REF!,#REF!)</f>
        <v/>
      </c>
      <c r="E27" s="45" t="n"/>
      <c r="F27" s="45" t="n"/>
      <c r="G27" s="45">
        <f>#REF!/$F$5</f>
        <v/>
      </c>
      <c r="H27" s="45">
        <f>MROUND(G27,1)*$F$5</f>
        <v/>
      </c>
      <c r="I27" s="46">
        <f>IFERROR(H27/INDEX(Data!$E:$E,MATCH($B27,Data!$B:$B,0)),0)</f>
        <v/>
      </c>
      <c r="J27" s="44">
        <f>SUMIFS(#REF!,#REF!,$B27,#REF!,#REF!)</f>
        <v/>
      </c>
      <c r="K27" s="45">
        <f>#REF!</f>
        <v/>
      </c>
      <c r="L27" s="45" t="n"/>
      <c r="M27" s="45">
        <f>#REF!/$L$5</f>
        <v/>
      </c>
      <c r="N27" s="45">
        <f>MROUND(M27,1)*$L$5</f>
        <v/>
      </c>
      <c r="O27" s="46">
        <f>IFERROR(N27/INDEX(Data!$E:$E,MATCH($B27,Data!$B:$B,0)),0)</f>
        <v/>
      </c>
      <c r="Q27" s="44">
        <f>IFERROR(INDEX(Data!$F:$F,MATCH($B27,Data!$B:$B,0)),0)</f>
        <v/>
      </c>
      <c r="R27" s="44">
        <f>SUMIFS('T bills'!$M:$M,'T bills'!$D:$D,$B27,'T bills'!$E:$E,"USD",'T bills'!$A:$A,"*Treasury Bills*")</f>
        <v/>
      </c>
      <c r="S27" s="44">
        <f>SUMIFS('T bills'!$M:$M,'T bills'!$D:$D,$B27,'T bills'!$E:$E,"EUR",'T bills'!$A:$A,"*Treasury Bills*")*$F$3</f>
        <v/>
      </c>
      <c r="T27" s="44">
        <f>SUM(Q27:S27)</f>
        <v/>
      </c>
    </row>
    <row r="28">
      <c r="A28" s="14" t="inlineStr">
        <is>
          <t>Alemagna, Alberto Pietro</t>
        </is>
      </c>
      <c r="B28" s="43" t="n">
        <v>1627998.001</v>
      </c>
      <c r="C28" s="16" t="inlineStr">
        <is>
          <t>EUR</t>
        </is>
      </c>
      <c r="D28" s="44">
        <f>SUMIFS(#REF!,#REF!,$B28,#REF!,#REF!)</f>
        <v/>
      </c>
      <c r="E28" s="45" t="n"/>
      <c r="F28" s="45" t="n"/>
      <c r="G28" s="45">
        <f>#REF!/$F$5</f>
        <v/>
      </c>
      <c r="H28" s="45">
        <f>MROUND(G28,1)*$F$5</f>
        <v/>
      </c>
      <c r="I28" s="46">
        <f>IFERROR(H28/INDEX(Data!$E:$E,MATCH($B28,Data!$B:$B,0)),0)</f>
        <v/>
      </c>
      <c r="J28" s="44">
        <f>SUMIFS(#REF!,#REF!,$B28,#REF!,#REF!)</f>
        <v/>
      </c>
      <c r="K28" s="45">
        <f>#REF!</f>
        <v/>
      </c>
      <c r="L28" s="45" t="n"/>
      <c r="M28" s="45">
        <f>#REF!/$L$5</f>
        <v/>
      </c>
      <c r="N28" s="45">
        <f>MROUND(M28,1)*$L$5</f>
        <v/>
      </c>
      <c r="O28" s="46">
        <f>IFERROR(N28/INDEX(Data!$E:$E,MATCH($B28,Data!$B:$B,0)),0)</f>
        <v/>
      </c>
      <c r="Q28" s="44">
        <f>IFERROR(INDEX(Data!$F:$F,MATCH($B28,Data!$B:$B,0)),0)</f>
        <v/>
      </c>
      <c r="R28" s="44">
        <f>SUMIFS('T bills'!$M:$M,'T bills'!$D:$D,$B28,'T bills'!$E:$E,"USD",'T bills'!$A:$A,"*Treasury Bills*")</f>
        <v/>
      </c>
      <c r="S28" s="44">
        <f>SUMIFS('T bills'!$M:$M,'T bills'!$D:$D,$B28,'T bills'!$E:$E,"EUR",'T bills'!$A:$A,"*Treasury Bills*")*$F$3</f>
        <v/>
      </c>
      <c r="T28" s="44">
        <f>SUM(Q28:S28)</f>
        <v/>
      </c>
    </row>
    <row r="29">
      <c r="A29" s="14" t="inlineStr">
        <is>
          <t>Alemagna, Tancredi Luigi</t>
        </is>
      </c>
      <c r="B29" s="43" t="n">
        <v>1619782.001</v>
      </c>
      <c r="C29" s="16" t="inlineStr">
        <is>
          <t>EUR</t>
        </is>
      </c>
      <c r="D29" s="44">
        <f>SUMIFS(#REF!,#REF!,$B29,#REF!,#REF!)</f>
        <v/>
      </c>
      <c r="E29" s="45" t="n"/>
      <c r="F29" s="45" t="n"/>
      <c r="G29" s="45">
        <f>#REF!/$F$5</f>
        <v/>
      </c>
      <c r="H29" s="45">
        <f>MROUND(G29,1)*$F$5</f>
        <v/>
      </c>
      <c r="I29" s="46">
        <f>IFERROR(H29/INDEX(Data!$E:$E,MATCH($B29,Data!$B:$B,0)),0)</f>
        <v/>
      </c>
      <c r="J29" s="44">
        <f>SUMIFS(#REF!,#REF!,$B29,#REF!,#REF!)</f>
        <v/>
      </c>
      <c r="K29" s="45">
        <f>#REF!</f>
        <v/>
      </c>
      <c r="L29" s="45" t="n"/>
      <c r="M29" s="45">
        <f>#REF!/$L$5</f>
        <v/>
      </c>
      <c r="N29" s="45">
        <f>MROUND(M29,1)*$L$5</f>
        <v/>
      </c>
      <c r="O29" s="46">
        <f>IFERROR(N29/INDEX(Data!$E:$E,MATCH($B29,Data!$B:$B,0)),0)</f>
        <v/>
      </c>
      <c r="Q29" s="44">
        <f>IFERROR(INDEX(Data!$F:$F,MATCH($B29,Data!$B:$B,0)),0)</f>
        <v/>
      </c>
      <c r="R29" s="44">
        <f>SUMIFS('T bills'!$M:$M,'T bills'!$D:$D,$B29,'T bills'!$E:$E,"USD",'T bills'!$A:$A,"*Treasury Bills*")</f>
        <v/>
      </c>
      <c r="S29" s="44">
        <f>SUMIFS('T bills'!$M:$M,'T bills'!$D:$D,$B29,'T bills'!$E:$E,"EUR",'T bills'!$A:$A,"*Treasury Bills*")*$F$3</f>
        <v/>
      </c>
      <c r="T29" s="44">
        <f>SUM(Q29:S29)</f>
        <v/>
      </c>
    </row>
    <row r="30">
      <c r="A30" s="14" t="inlineStr">
        <is>
          <t>Lettieri, Riccardo</t>
        </is>
      </c>
      <c r="B30" s="43" t="n">
        <v>1660765.001</v>
      </c>
      <c r="C30" s="16" t="inlineStr">
        <is>
          <t>EUR</t>
        </is>
      </c>
      <c r="D30" s="44">
        <f>SUMIFS(#REF!,#REF!,$B30,#REF!,#REF!)</f>
        <v/>
      </c>
      <c r="E30" s="45" t="n"/>
      <c r="F30" s="45" t="n"/>
      <c r="G30" s="45">
        <f>#REF!/$F$5</f>
        <v/>
      </c>
      <c r="H30" s="45">
        <f>MROUND(G30,1)*$F$5</f>
        <v/>
      </c>
      <c r="I30" s="46">
        <f>IFERROR(H30/INDEX(Data!$E:$E,MATCH($B30,Data!$B:$B,0)),0)</f>
        <v/>
      </c>
      <c r="J30" s="44">
        <f>SUMIFS(#REF!,#REF!,$B30,#REF!,#REF!)</f>
        <v/>
      </c>
      <c r="K30" s="45">
        <f>#REF!</f>
        <v/>
      </c>
      <c r="L30" s="45" t="n"/>
      <c r="M30" s="45">
        <f>#REF!/$L$5</f>
        <v/>
      </c>
      <c r="N30" s="45">
        <f>MROUND(M30,1)*$L$5</f>
        <v/>
      </c>
      <c r="O30" s="46">
        <f>IFERROR(N30/INDEX(Data!$E:$E,MATCH($B30,Data!$B:$B,0)),0)</f>
        <v/>
      </c>
      <c r="Q30" s="44">
        <f>IFERROR(INDEX(Data!$F:$F,MATCH($B30,Data!$B:$B,0)),0)</f>
        <v/>
      </c>
      <c r="R30" s="44">
        <f>SUMIFS('T bills'!$M:$M,'T bills'!$D:$D,$B30,'T bills'!$E:$E,"USD",'T bills'!$A:$A,"*Treasury Bills*")</f>
        <v/>
      </c>
      <c r="S30" s="44">
        <f>SUMIFS('T bills'!$M:$M,'T bills'!$D:$D,$B30,'T bills'!$E:$E,"EUR",'T bills'!$A:$A,"*Treasury Bills*")*$F$3</f>
        <v/>
      </c>
      <c r="T30" s="44">
        <f>SUM(Q30:S30)</f>
        <v/>
      </c>
    </row>
    <row r="31">
      <c r="A31" s="14" t="inlineStr">
        <is>
          <t>Saira Holding S.r.L.</t>
        </is>
      </c>
      <c r="B31" s="43" t="n">
        <v>1690341.001</v>
      </c>
      <c r="C31" s="16" t="inlineStr">
        <is>
          <t>EUR</t>
        </is>
      </c>
      <c r="D31" s="44">
        <f>SUMIFS(#REF!,#REF!,$B31,#REF!,#REF!)</f>
        <v/>
      </c>
      <c r="E31" s="45" t="n"/>
      <c r="F31" s="45" t="n"/>
      <c r="G31" s="45">
        <f>#REF!/$F$5</f>
        <v/>
      </c>
      <c r="H31" s="45">
        <f>MROUND(G31,1)*$F$5</f>
        <v/>
      </c>
      <c r="I31" s="46">
        <f>IFERROR(H31/INDEX(Data!$E:$E,MATCH($B31,Data!$B:$B,0)),0)</f>
        <v/>
      </c>
      <c r="J31" s="44">
        <f>SUMIFS(#REF!,#REF!,$B31,#REF!,#REF!)</f>
        <v/>
      </c>
      <c r="K31" s="45">
        <f>#REF!</f>
        <v/>
      </c>
      <c r="L31" s="45" t="n"/>
      <c r="M31" s="45">
        <f>#REF!/$L$5</f>
        <v/>
      </c>
      <c r="N31" s="45">
        <f>MROUND(M31,1)*$L$5</f>
        <v/>
      </c>
      <c r="O31" s="46">
        <f>IFERROR(N31/INDEX(Data!$E:$E,MATCH($B31,Data!$B:$B,0)),0)</f>
        <v/>
      </c>
      <c r="Q31" s="44">
        <f>IFERROR(INDEX(Data!$F:$F,MATCH($B31,Data!$B:$B,0)),0)</f>
        <v/>
      </c>
      <c r="R31" s="44">
        <f>SUMIFS('T bills'!$M:$M,'T bills'!$D:$D,$B31,'T bills'!$E:$E,"USD",'T bills'!$A:$A,"*Treasury Bills*")</f>
        <v/>
      </c>
      <c r="S31" s="44">
        <f>SUMIFS('T bills'!$M:$M,'T bills'!$D:$D,$B31,'T bills'!$E:$E,"EUR",'T bills'!$A:$A,"*Treasury Bills*")*$F$3</f>
        <v/>
      </c>
      <c r="T31" s="44">
        <f>SUM(Q31:S31)</f>
        <v/>
      </c>
    </row>
    <row r="32">
      <c r="A32" s="6" t="inlineStr">
        <is>
          <t>Conservative Mandate</t>
        </is>
      </c>
      <c r="B32" s="40" t="n"/>
      <c r="C32" s="7" t="n"/>
      <c r="D32" s="41" t="n"/>
      <c r="E32" s="37" t="n"/>
      <c r="F32" s="37" t="n"/>
      <c r="G32" s="37" t="n"/>
      <c r="H32" s="37" t="n"/>
      <c r="J32" s="41" t="n"/>
      <c r="K32" s="37" t="n"/>
      <c r="L32" s="37" t="n"/>
      <c r="M32" s="37" t="n"/>
      <c r="N32" s="37" t="n"/>
      <c r="Q32" s="42" t="n"/>
      <c r="R32" s="42" t="n"/>
      <c r="S32" s="42" t="n"/>
      <c r="T32" s="42" t="n"/>
    </row>
    <row r="33">
      <c r="A33" s="14" t="inlineStr">
        <is>
          <t>Malerba, Maria Clara</t>
        </is>
      </c>
      <c r="B33" s="43" t="n">
        <v>1632673.001</v>
      </c>
      <c r="C33" s="16" t="inlineStr">
        <is>
          <t>EUR</t>
        </is>
      </c>
      <c r="D33" s="44">
        <f>SUMIFS(#REF!,#REF!,$B33,#REF!,#REF!)</f>
        <v/>
      </c>
      <c r="E33" s="45" t="n"/>
      <c r="F33" s="45" t="n"/>
      <c r="G33" s="45">
        <f>#REF!/$F$5</f>
        <v/>
      </c>
      <c r="H33" s="45">
        <f>MROUND(G33,1)*$F$5</f>
        <v/>
      </c>
      <c r="I33" s="46">
        <f>IFERROR(H33/INDEX(Data!$E:$E,MATCH($B33,Data!$B:$B,0)),0)</f>
        <v/>
      </c>
      <c r="J33" s="44">
        <f>SUMIFS(#REF!,#REF!,$B33,#REF!,#REF!)</f>
        <v/>
      </c>
      <c r="K33" s="45">
        <f>#REF!</f>
        <v/>
      </c>
      <c r="L33" s="45" t="n"/>
      <c r="M33" s="45">
        <f>#REF!/$L$5</f>
        <v/>
      </c>
      <c r="N33" s="45">
        <f>MROUND(M33,1)*$L$5</f>
        <v/>
      </c>
      <c r="O33" s="46">
        <f>IFERROR(N33/INDEX(Data!$E:$E,MATCH($B33,Data!$B:$B,0)),0)</f>
        <v/>
      </c>
      <c r="Q33" s="44">
        <f>IFERROR(INDEX(Data!$F:$F,MATCH($B33,Data!$B:$B,0)),0)</f>
        <v/>
      </c>
      <c r="R33" s="44">
        <f>SUMIFS('T bills'!$M:$M,'T bills'!$D:$D,$B33,'T bills'!$E:$E,"USD",'T bills'!$A:$A,"*Treasury Bills*")</f>
        <v/>
      </c>
      <c r="S33" s="44">
        <f>SUMIFS('T bills'!$M:$M,'T bills'!$D:$D,$B33,'T bills'!$E:$E,"EUR",'T bills'!$A:$A,"*Treasury Bills*")*$F$3</f>
        <v/>
      </c>
      <c r="T33" s="44">
        <f>SUM(Q33:S33)</f>
        <v/>
      </c>
    </row>
    <row r="34">
      <c r="A34" s="6" t="inlineStr">
        <is>
          <t>Other (not on client list)</t>
        </is>
      </c>
      <c r="B34" s="40" t="n"/>
      <c r="C34" s="7" t="n"/>
      <c r="D34" s="41" t="n"/>
      <c r="E34" s="37" t="n"/>
      <c r="F34" s="37" t="n"/>
      <c r="G34" s="37" t="n"/>
      <c r="H34" s="37" t="n"/>
      <c r="J34" s="41" t="n"/>
      <c r="K34" s="37" t="n"/>
      <c r="L34" s="37" t="n"/>
      <c r="M34" s="37" t="n"/>
      <c r="N34" s="37" t="n"/>
      <c r="Q34" s="42" t="n"/>
      <c r="R34" s="42" t="n"/>
      <c r="S34" s="42" t="n"/>
      <c r="T34" s="42" t="n"/>
    </row>
    <row r="35">
      <c r="A35" s="14" t="inlineStr">
        <is>
          <t>Lettieri, Umberto</t>
        </is>
      </c>
      <c r="B35" s="43" t="n">
        <v>1710712.001</v>
      </c>
      <c r="C35" s="16" t="inlineStr">
        <is>
          <t>USD</t>
        </is>
      </c>
      <c r="D35" s="44">
        <f>SUMIFS(#REF!,#REF!,$B35,#REF!,#REF!)</f>
        <v/>
      </c>
      <c r="E35" s="45" t="n"/>
      <c r="F35" s="45" t="n"/>
      <c r="G35" s="45">
        <f>#REF!/$F$5</f>
        <v/>
      </c>
      <c r="H35" s="45">
        <f>MROUND(G35,1)*$F$5</f>
        <v/>
      </c>
      <c r="I35" s="46">
        <f>IFERROR(H35/INDEX(Data!$E:$E,MATCH($B35,Data!$B:$B,0)),0)</f>
        <v/>
      </c>
      <c r="J35" s="44">
        <f>SUMIFS(#REF!,#REF!,$B35,#REF!,#REF!)</f>
        <v/>
      </c>
      <c r="K35" s="45">
        <f>#REF!</f>
        <v/>
      </c>
      <c r="L35" s="45" t="n"/>
      <c r="M35" s="45">
        <f>#REF!/$L$5</f>
        <v/>
      </c>
      <c r="N35" s="45">
        <f>MROUND(M35,1)*$L$5</f>
        <v/>
      </c>
      <c r="O35" s="46">
        <f>IFERROR(N35/INDEX(Data!$E:$E,MATCH($B35,Data!$B:$B,0)),0)</f>
        <v/>
      </c>
      <c r="Q35" s="44">
        <f>IFERROR(INDEX(Data!$F:$F,MATCH($B35,Data!$B:$B,0)),0)</f>
        <v/>
      </c>
      <c r="R35" s="44">
        <f>SUMIFS('T bills'!$M:$M,'T bills'!$D:$D,$B35,'T bills'!$E:$E,"USD",'T bills'!$A:$A,"*Treasury Bills*")</f>
        <v/>
      </c>
      <c r="S35" s="44">
        <f>SUMIFS('T bills'!$M:$M,'T bills'!$D:$D,$B35,'T bills'!$E:$E,"EUR",'T bills'!$A:$A,"*Treasury Bills*")*$F$3</f>
        <v/>
      </c>
      <c r="T35" s="44">
        <f>SUM(Q35:S35)</f>
        <v/>
      </c>
    </row>
    <row r="36">
      <c r="F36" s="45" t="n"/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</sheetData>
  <conditionalFormatting sqref="E8:H35 F36 K8:N35">
    <cfRule type="cellIs" priority="79" operator="lessThan" dxfId="0">
      <formula>0</formula>
    </cfRule>
  </conditionalFormatting>
  <conditionalFormatting sqref="I7">
    <cfRule type="cellIs" priority="129" operator="lessThan" dxfId="0">
      <formula>0</formula>
    </cfRule>
  </conditionalFormatting>
  <conditionalFormatting sqref="I9:I16">
    <cfRule type="cellIs" priority="121" operator="lessThan" dxfId="0">
      <formula>0</formula>
    </cfRule>
  </conditionalFormatting>
  <conditionalFormatting sqref="I18:I31">
    <cfRule type="cellIs" priority="107" operator="lessThan" dxfId="0">
      <formula>0</formula>
    </cfRule>
  </conditionalFormatting>
  <conditionalFormatting sqref="I33">
    <cfRule type="cellIs" priority="106" operator="lessThan" dxfId="0">
      <formula>0</formula>
    </cfRule>
  </conditionalFormatting>
  <conditionalFormatting sqref="I35">
    <cfRule type="cellIs" priority="105" operator="lessThan" dxfId="0">
      <formula>0</formula>
    </cfRule>
  </conditionalFormatting>
  <conditionalFormatting sqref="O7">
    <cfRule type="cellIs" priority="104" operator="lessThan" dxfId="0">
      <formula>0</formula>
    </cfRule>
  </conditionalFormatting>
  <conditionalFormatting sqref="O9:O16">
    <cfRule type="cellIs" priority="71" operator="lessThan" dxfId="0">
      <formula>0</formula>
    </cfRule>
  </conditionalFormatting>
  <conditionalFormatting sqref="O18:O31">
    <cfRule type="cellIs" priority="57" operator="lessThan" dxfId="0">
      <formula>0</formula>
    </cfRule>
  </conditionalFormatting>
  <conditionalFormatting sqref="O33">
    <cfRule type="cellIs" priority="56" operator="lessThan" dxfId="0">
      <formula>0</formula>
    </cfRule>
  </conditionalFormatting>
  <conditionalFormatting sqref="O35">
    <cfRule type="cellIs" priority="55" operator="lessThan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Werner Leicher</dc:creator>
  <dcterms:created xmlns:dcterms="http://purl.org/dc/terms/" xmlns:xsi="http://www.w3.org/2001/XMLSchema-instance" xsi:type="dcterms:W3CDTF">2026-10-27T08:04:18Z</dcterms:created>
  <dcterms:modified xmlns:dcterms="http://purl.org/dc/terms/" xmlns:xsi="http://www.w3.org/2001/XMLSchema-instance" xsi:type="dcterms:W3CDTF">2026-10-28T10:56:02Z</dcterms:modified>
  <cp:lastModifiedBy>Werner Leicher</cp:lastModifiedBy>
</cp:coreProperties>
</file>